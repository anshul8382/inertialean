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esAndCharges" sheetId="1" r:id="rId4"/>
    <sheet state="visible" name="Sheet1" sheetId="2" r:id="rId5"/>
    <sheet state="visible" name="Copy of Sheet1" sheetId="3" r:id="rId6"/>
  </sheets>
  <definedNames>
    <definedName hidden="1" localSheetId="0" name="_xlnm._FilterDatabase">TradesAndCharges!$A$35:$S$51</definedName>
  </definedNames>
  <calcPr/>
  <extLst>
    <ext uri="GoogleSheetsCustomDataVersion2">
      <go:sheetsCustomData xmlns:go="http://customooxmlschemas.google.com/" r:id="rId7" roundtripDataChecksum="8Jwq986lL6qR+szL9KaIHcKN7y/3heVO6rxTlNrlak0="/>
    </ext>
  </extLst>
</workbook>
</file>

<file path=xl/sharedStrings.xml><?xml version="1.0" encoding="utf-8"?>
<sst xmlns="http://schemas.openxmlformats.org/spreadsheetml/2006/main" count="781" uniqueCount="138">
  <si>
    <t>ClientCode</t>
  </si>
  <si>
    <t>AAAQ511803</t>
  </si>
  <si>
    <t/>
  </si>
  <si>
    <t>DateOfDownload</t>
  </si>
  <si>
    <t>2026-05-21</t>
  </si>
  <si>
    <t>Date Range</t>
  </si>
  <si>
    <t>StartDate</t>
  </si>
  <si>
    <t>EndDate</t>
  </si>
  <si>
    <t>2026-05-01 00:00:00.0</t>
  </si>
  <si>
    <t>2026-05-20 23:59:59.0</t>
  </si>
  <si>
    <t>Charges Summary</t>
  </si>
  <si>
    <t>Total Trades</t>
  </si>
  <si>
    <t>13</t>
  </si>
  <si>
    <t>Total Charges</t>
  </si>
  <si>
    <t>Total Trade Charges</t>
  </si>
  <si>
    <t>Total Non Trade Charges</t>
  </si>
  <si>
    <t>Trade Charges</t>
  </si>
  <si>
    <t>Brokerage</t>
  </si>
  <si>
    <t>GST</t>
  </si>
  <si>
    <t>SEBI Tax</t>
  </si>
  <si>
    <t>STT</t>
  </si>
  <si>
    <t>Exchange Turnover Charges</t>
  </si>
  <si>
    <t>Stamp Duty</t>
  </si>
  <si>
    <t>Other Charges</t>
  </si>
  <si>
    <t>IPFT Charges</t>
  </si>
  <si>
    <t>Non Trade Charges</t>
  </si>
  <si>
    <t>DP Charges</t>
  </si>
  <si>
    <t>Interest Charges</t>
  </si>
  <si>
    <t>Monthly Account Maintenance</t>
  </si>
  <si>
    <t>Pledge Charges</t>
  </si>
  <si>
    <t>Call And Trade Charges</t>
  </si>
  <si>
    <t>Margin Shortfall Penalty</t>
  </si>
  <si>
    <t>TradeBook And Charges</t>
  </si>
  <si>
    <t>Scrip/Contract</t>
  </si>
  <si>
    <t>Buy/Sell</t>
  </si>
  <si>
    <t>Buy Price</t>
  </si>
  <si>
    <t>Sell Price</t>
  </si>
  <si>
    <t>Quantity</t>
  </si>
  <si>
    <t>Sebi Tax</t>
  </si>
  <si>
    <t>Order Type</t>
  </si>
  <si>
    <t>Segment</t>
  </si>
  <si>
    <t>Exchange</t>
  </si>
  <si>
    <t>Order ID</t>
  </si>
  <si>
    <t>Trade ID</t>
  </si>
  <si>
    <t>Date</t>
  </si>
  <si>
    <t>HDFC BANK LTD</t>
  </si>
  <si>
    <t>Buy</t>
  </si>
  <si>
    <t>Delivery</t>
  </si>
  <si>
    <t>CAPITAL</t>
  </si>
  <si>
    <t>NSE</t>
  </si>
  <si>
    <t>1100000032898481</t>
  </si>
  <si>
    <t>203605686</t>
  </si>
  <si>
    <t>BAJAJ FINANCE LIMITED</t>
  </si>
  <si>
    <t>1000000054578913</t>
  </si>
  <si>
    <t>4996900</t>
  </si>
  <si>
    <t>203605684</t>
  </si>
  <si>
    <t>1000000054698700</t>
  </si>
  <si>
    <t>5007453</t>
  </si>
  <si>
    <t>ETERNAL LIMITED</t>
  </si>
  <si>
    <t>1100000097478696</t>
  </si>
  <si>
    <t>210311998</t>
  </si>
  <si>
    <t>203605685</t>
  </si>
  <si>
    <t>ATHER ENERGY LIMITED</t>
  </si>
  <si>
    <t>1000000053556682</t>
  </si>
  <si>
    <t>5223654</t>
  </si>
  <si>
    <t>INFO EDGE (I) LTD</t>
  </si>
  <si>
    <t>1200000059436656</t>
  </si>
  <si>
    <t>405383786</t>
  </si>
  <si>
    <t>BLUESTONE JEWEL LFSTL LTD</t>
  </si>
  <si>
    <t>1000000071841984</t>
  </si>
  <si>
    <t>6674513</t>
  </si>
  <si>
    <t>ONE 97 COMMUNICATIONS LTD</t>
  </si>
  <si>
    <t>1200000065617083</t>
  </si>
  <si>
    <t>405882293</t>
  </si>
  <si>
    <t>AUROBINDO PHARMA LTD</t>
  </si>
  <si>
    <t>1000000074707175</t>
  </si>
  <si>
    <t>6963908</t>
  </si>
  <si>
    <t>INDIAN ENERGY EXC LTD</t>
  </si>
  <si>
    <t>1100000082387548</t>
  </si>
  <si>
    <t>208961111</t>
  </si>
  <si>
    <t>PIDILITE INDUSTRIES LTD</t>
  </si>
  <si>
    <t>1200000080853795</t>
  </si>
  <si>
    <t>407193506</t>
  </si>
  <si>
    <t>REDINGTON LIMITED</t>
  </si>
  <si>
    <t>1300000067260850</t>
  </si>
  <si>
    <t>606798214</t>
  </si>
  <si>
    <t>CONTAINER CORP OF IND LTD</t>
  </si>
  <si>
    <t>1000000074833674</t>
  </si>
  <si>
    <t>6978415</t>
  </si>
  <si>
    <t>208961110</t>
  </si>
  <si>
    <t>Portfolio Investment Recos for Achint Jain May 2026</t>
  </si>
  <si>
    <t xml:space="preserve">Client execute  this trade </t>
  </si>
  <si>
    <t>Company</t>
  </si>
  <si>
    <t>NSE Symbol</t>
  </si>
  <si>
    <t>Qty</t>
  </si>
  <si>
    <t>Price</t>
  </si>
  <si>
    <t>Value</t>
  </si>
  <si>
    <t>HDFC Bank Limited</t>
  </si>
  <si>
    <t>HDFCBANK</t>
  </si>
  <si>
    <t>Marico Limited</t>
  </si>
  <si>
    <t>MARICO</t>
  </si>
  <si>
    <t>Reliance Industries Limited</t>
  </si>
  <si>
    <t>RELIANCE</t>
  </si>
  <si>
    <t xml:space="preserve">Diffrence of recos price </t>
  </si>
  <si>
    <t>Total Buy Recos</t>
  </si>
  <si>
    <t>Bajaj Finance Limited</t>
  </si>
  <si>
    <t>BAJFINANCE</t>
  </si>
  <si>
    <t>One 97 Communications Limited</t>
  </si>
  <si>
    <t>PAYTM</t>
  </si>
  <si>
    <t>ETERNAL</t>
  </si>
  <si>
    <t>Pidilite Industries Limited</t>
  </si>
  <si>
    <t>PIDILITIND</t>
  </si>
  <si>
    <t>Aurobindo Pharma Limited</t>
  </si>
  <si>
    <t>AUROPHARMA</t>
  </si>
  <si>
    <t>Indian Energy Exchange Limited</t>
  </si>
  <si>
    <t>IEX</t>
  </si>
  <si>
    <t>Ather Energy Limited</t>
  </si>
  <si>
    <t>ATHERENERG</t>
  </si>
  <si>
    <t>Container Corporation of India Limited</t>
  </si>
  <si>
    <t>CONCOR</t>
  </si>
  <si>
    <t>Bluestone Jewellery and Lifestyle Ltd</t>
  </si>
  <si>
    <t>BLUESTONE</t>
  </si>
  <si>
    <t>Info Edge (India) Limited</t>
  </si>
  <si>
    <t>NAUKRI</t>
  </si>
  <si>
    <t>Redington Limited</t>
  </si>
  <si>
    <t>REDINGTON</t>
  </si>
  <si>
    <t>NSE:HDFCBANK</t>
  </si>
  <si>
    <t>NSE:BAJFINANCE</t>
  </si>
  <si>
    <t>NSE:PAYTM</t>
  </si>
  <si>
    <t>NSE:ETERNAL</t>
  </si>
  <si>
    <t>NSE:PIDILITIND</t>
  </si>
  <si>
    <t>NSE:AUROPHARMA</t>
  </si>
  <si>
    <t>NSE:IEX</t>
  </si>
  <si>
    <t>NSE:ATHERENERG</t>
  </si>
  <si>
    <t>NSE:CONCOR</t>
  </si>
  <si>
    <t>NSE:BLUESTONE</t>
  </si>
  <si>
    <t>NSE:NAUKRI</t>
  </si>
  <si>
    <t>NSE:REDINGTON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</si>
</sst>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Arial"/>
      <scheme val="minor"/>
    </font>
    <font>
      <b/>
      <sz val="8.0"/>
      <color theme="1"/>
      <name val="Verdana"/>
    </font>
    <font>
      <color theme="1"/>
      <name val="Arial"/>
      <scheme val="minor"/>
    </font>
    <font>
      <sz val="8.0"/>
      <color theme="1"/>
      <name val="Verdana"/>
    </font>
    <font>
      <b/>
      <color theme="1"/>
      <name val="Arial"/>
      <scheme val="minor"/>
    </font>
    <font>
      <b/>
      <sz val="12.0"/>
      <color rgb="FF7A001E"/>
      <name val="Arial"/>
    </font>
    <font>
      <b/>
      <sz val="9.0"/>
      <color rgb="FF222222"/>
      <name val="Arial"/>
    </font>
    <font/>
    <font>
      <sz val="9.0"/>
      <color rgb="FF222222"/>
      <name val="Arial"/>
    </font>
    <font>
      <sz val="9.0"/>
      <color rgb="FF0B486B"/>
      <name val="Arial"/>
    </font>
    <font>
      <b/>
      <sz val="9.0"/>
      <color rgb="FF0064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</border>
    <border>
      <left style="thin">
        <color rgb="FF777777"/>
      </left>
      <top style="thin">
        <color rgb="FF777777"/>
      </top>
      <bottom style="thin">
        <color rgb="FF777777"/>
      </bottom>
    </border>
    <border>
      <top style="thin">
        <color rgb="FF777777"/>
      </top>
      <bottom style="thin">
        <color rgb="FF777777"/>
      </bottom>
    </border>
    <border>
      <right style="thin">
        <color rgb="FF777777"/>
      </right>
      <top style="thin">
        <color rgb="FF777777"/>
      </top>
      <bottom style="thin">
        <color rgb="FF777777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1" wrapText="0"/>
    </xf>
    <xf borderId="0" fillId="0" fontId="2" numFmtId="0" xfId="0" applyFont="1"/>
    <xf borderId="1" fillId="3" fontId="1" numFmtId="0" xfId="0" applyAlignment="1" applyBorder="1" applyFill="1" applyFont="1">
      <alignment horizontal="left" shrinkToFit="1" wrapText="0"/>
    </xf>
    <xf borderId="1" fillId="0" fontId="3" numFmtId="0" xfId="0" applyAlignment="1" applyBorder="1" applyFont="1">
      <alignment horizontal="left" shrinkToFit="1" wrapText="0"/>
    </xf>
    <xf borderId="1" fillId="0" fontId="3" numFmtId="22" xfId="0" applyAlignment="1" applyBorder="1" applyFont="1" applyNumberFormat="1">
      <alignment horizontal="left" shrinkToFit="1" wrapText="0"/>
    </xf>
    <xf borderId="0" fillId="0" fontId="2" numFmtId="0" xfId="0" applyAlignment="1" applyFont="1">
      <alignment readingOrder="0"/>
    </xf>
    <xf borderId="0" fillId="0" fontId="4" numFmtId="0" xfId="0" applyFont="1"/>
    <xf borderId="0" fillId="4" fontId="5" numFmtId="0" xfId="0" applyAlignment="1" applyFill="1" applyFont="1">
      <alignment horizontal="left" readingOrder="0"/>
    </xf>
    <xf borderId="0" fillId="0" fontId="4" numFmtId="0" xfId="0" applyAlignment="1" applyFont="1">
      <alignment horizontal="center" readingOrder="0"/>
    </xf>
    <xf borderId="2" fillId="4" fontId="6" numFmtId="0" xfId="0" applyAlignment="1" applyBorder="1" applyFont="1">
      <alignment horizontal="left" readingOrder="0"/>
    </xf>
    <xf borderId="2" fillId="4" fontId="6" numFmtId="0" xfId="0" applyAlignment="1" applyBorder="1" applyFont="1">
      <alignment horizontal="right" readingOrder="0"/>
    </xf>
    <xf borderId="3" fillId="4" fontId="6" numFmtId="0" xfId="0" applyAlignment="1" applyBorder="1" applyFont="1">
      <alignment readingOrder="0"/>
    </xf>
    <xf borderId="4" fillId="0" fontId="7" numFmtId="0" xfId="0" applyBorder="1" applyFont="1"/>
    <xf borderId="5" fillId="0" fontId="7" numFmtId="0" xfId="0" applyBorder="1" applyFont="1"/>
    <xf borderId="2" fillId="4" fontId="8" numFmtId="0" xfId="0" applyAlignment="1" applyBorder="1" applyFont="1">
      <alignment readingOrder="0" shrinkToFit="0" wrapText="1"/>
    </xf>
    <xf borderId="2" fillId="4" fontId="9" numFmtId="0" xfId="0" applyAlignment="1" applyBorder="1" applyFont="1">
      <alignment readingOrder="0" shrinkToFit="0" wrapText="0"/>
    </xf>
    <xf borderId="2" fillId="4" fontId="8" numFmtId="0" xfId="0" applyAlignment="1" applyBorder="1" applyFont="1">
      <alignment horizontal="right" readingOrder="0" shrinkToFit="0" wrapText="0"/>
    </xf>
    <xf borderId="2" fillId="4" fontId="8" numFmtId="3" xfId="0" applyAlignment="1" applyBorder="1" applyFont="1" applyNumberFormat="1">
      <alignment horizontal="right" readingOrder="0" shrinkToFit="0" wrapText="0"/>
    </xf>
    <xf borderId="0" fillId="0" fontId="4" numFmtId="0" xfId="0" applyAlignment="1" applyFont="1">
      <alignment readingOrder="0"/>
    </xf>
    <xf borderId="3" fillId="4" fontId="6" numFmtId="0" xfId="0" applyAlignment="1" applyBorder="1" applyFont="1">
      <alignment horizontal="right" readingOrder="0"/>
    </xf>
    <xf borderId="2" fillId="4" fontId="10" numFmtId="3" xfId="0" applyAlignment="1" applyBorder="1" applyFont="1" applyNumberFormat="1">
      <alignment horizontal="right" readingOrder="0"/>
    </xf>
    <xf borderId="0" fillId="0" fontId="4" numFmtId="3" xfId="0" applyFont="1" applyNumberFormat="1"/>
    <xf borderId="0" fillId="4" fontId="8" numFmtId="0" xfId="0" applyFont="1"/>
    <xf borderId="2" fillId="5" fontId="8" numFmtId="0" xfId="0" applyAlignment="1" applyBorder="1" applyFill="1" applyFont="1">
      <alignment readingOrder="0" shrinkToFit="0" wrapText="1"/>
    </xf>
    <xf borderId="2" fillId="5" fontId="9" numFmtId="0" xfId="0" applyAlignment="1" applyBorder="1" applyFont="1">
      <alignment readingOrder="0" shrinkToFit="0" wrapText="0"/>
    </xf>
    <xf borderId="2" fillId="5" fontId="8" numFmtId="0" xfId="0" applyAlignment="1" applyBorder="1" applyFont="1">
      <alignment horizontal="right" readingOrder="0" shrinkToFit="0" wrapText="0"/>
    </xf>
    <xf borderId="2" fillId="5" fontId="8" numFmtId="3" xfId="0" applyAlignment="1" applyBorder="1" applyFont="1" applyNumberFormat="1">
      <alignment horizontal="right" readingOrder="0" shrinkToFit="0" wrapText="0"/>
    </xf>
    <xf borderId="0" fillId="5" fontId="4" numFmtId="0" xfId="0" applyFont="1"/>
    <xf borderId="0" fillId="5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20.0"/>
  </cols>
  <sheetData>
    <row r="1" ht="14.25" customHeight="1"/>
    <row r="2" ht="14.25" customHeight="1">
      <c r="A2" s="1" t="s">
        <v>0</v>
      </c>
      <c r="B2" s="1" t="s">
        <v>1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2" t="s">
        <v>2</v>
      </c>
      <c r="M2" s="2" t="s">
        <v>2</v>
      </c>
      <c r="N2" s="2" t="s">
        <v>2</v>
      </c>
      <c r="O2" s="2" t="s">
        <v>2</v>
      </c>
      <c r="P2" s="2" t="s">
        <v>2</v>
      </c>
      <c r="Q2" s="2" t="s">
        <v>2</v>
      </c>
      <c r="R2" s="2" t="s">
        <v>2</v>
      </c>
      <c r="S2" s="2" t="s">
        <v>2</v>
      </c>
    </row>
    <row r="3" ht="14.25" customHeight="1">
      <c r="A3" s="1" t="s">
        <v>3</v>
      </c>
      <c r="B3" s="1" t="s">
        <v>4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2" t="s">
        <v>2</v>
      </c>
      <c r="M3" s="2" t="s">
        <v>2</v>
      </c>
      <c r="N3" s="2" t="s">
        <v>2</v>
      </c>
      <c r="O3" s="2" t="s">
        <v>2</v>
      </c>
      <c r="P3" s="2" t="s">
        <v>2</v>
      </c>
      <c r="Q3" s="2" t="s">
        <v>2</v>
      </c>
      <c r="R3" s="2" t="s">
        <v>2</v>
      </c>
      <c r="S3" s="2" t="s">
        <v>2</v>
      </c>
    </row>
    <row r="4" ht="14.25" customHeight="1"/>
    <row r="5" ht="14.25" customHeight="1">
      <c r="A5" s="3" t="s">
        <v>5</v>
      </c>
      <c r="B5" s="3" t="s">
        <v>2</v>
      </c>
      <c r="C5" s="2" t="s">
        <v>2</v>
      </c>
      <c r="D5" s="2" t="s">
        <v>2</v>
      </c>
      <c r="E5" s="2" t="s">
        <v>2</v>
      </c>
      <c r="F5" s="2" t="s">
        <v>2</v>
      </c>
      <c r="G5" s="2" t="s">
        <v>2</v>
      </c>
      <c r="H5" s="2" t="s">
        <v>2</v>
      </c>
      <c r="I5" s="2" t="s">
        <v>2</v>
      </c>
      <c r="J5" s="2" t="s">
        <v>2</v>
      </c>
      <c r="K5" s="2" t="s">
        <v>2</v>
      </c>
      <c r="L5" s="2" t="s">
        <v>2</v>
      </c>
      <c r="M5" s="2" t="s">
        <v>2</v>
      </c>
      <c r="N5" s="2" t="s">
        <v>2</v>
      </c>
      <c r="O5" s="2" t="s">
        <v>2</v>
      </c>
      <c r="P5" s="2" t="s">
        <v>2</v>
      </c>
      <c r="Q5" s="2" t="s">
        <v>2</v>
      </c>
      <c r="R5" s="2" t="s">
        <v>2</v>
      </c>
      <c r="S5" s="2" t="s">
        <v>2</v>
      </c>
    </row>
    <row r="6" ht="14.25" customHeight="1">
      <c r="A6" s="1" t="s">
        <v>6</v>
      </c>
      <c r="B6" s="1" t="s">
        <v>7</v>
      </c>
      <c r="C6" s="2" t="s">
        <v>2</v>
      </c>
      <c r="D6" s="2" t="s">
        <v>2</v>
      </c>
      <c r="E6" s="2" t="s">
        <v>2</v>
      </c>
      <c r="F6" s="2" t="s">
        <v>2</v>
      </c>
      <c r="G6" s="2" t="s">
        <v>2</v>
      </c>
      <c r="H6" s="2" t="s">
        <v>2</v>
      </c>
      <c r="I6" s="2" t="s">
        <v>2</v>
      </c>
      <c r="J6" s="2" t="s">
        <v>2</v>
      </c>
      <c r="K6" s="2" t="s">
        <v>2</v>
      </c>
      <c r="L6" s="2" t="s">
        <v>2</v>
      </c>
      <c r="M6" s="2" t="s">
        <v>2</v>
      </c>
      <c r="N6" s="2" t="s">
        <v>2</v>
      </c>
      <c r="O6" s="2" t="s">
        <v>2</v>
      </c>
      <c r="P6" s="2" t="s">
        <v>2</v>
      </c>
      <c r="Q6" s="2" t="s">
        <v>2</v>
      </c>
      <c r="R6" s="2" t="s">
        <v>2</v>
      </c>
      <c r="S6" s="2" t="s">
        <v>2</v>
      </c>
    </row>
    <row r="7" ht="14.25" customHeight="1">
      <c r="A7" s="1" t="s">
        <v>8</v>
      </c>
      <c r="B7" s="1" t="s">
        <v>9</v>
      </c>
      <c r="C7" s="2" t="s">
        <v>2</v>
      </c>
      <c r="D7" s="2" t="s">
        <v>2</v>
      </c>
      <c r="E7" s="2" t="s">
        <v>2</v>
      </c>
      <c r="F7" s="2" t="s">
        <v>2</v>
      </c>
      <c r="G7" s="2" t="s">
        <v>2</v>
      </c>
      <c r="H7" s="2" t="s">
        <v>2</v>
      </c>
      <c r="I7" s="2" t="s">
        <v>2</v>
      </c>
      <c r="J7" s="2" t="s">
        <v>2</v>
      </c>
      <c r="K7" s="2" t="s">
        <v>2</v>
      </c>
      <c r="L7" s="2" t="s">
        <v>2</v>
      </c>
      <c r="M7" s="2" t="s">
        <v>2</v>
      </c>
      <c r="N7" s="2" t="s">
        <v>2</v>
      </c>
      <c r="O7" s="2" t="s">
        <v>2</v>
      </c>
      <c r="P7" s="2" t="s">
        <v>2</v>
      </c>
      <c r="Q7" s="2" t="s">
        <v>2</v>
      </c>
      <c r="R7" s="2" t="s">
        <v>2</v>
      </c>
      <c r="S7" s="2" t="s">
        <v>2</v>
      </c>
    </row>
    <row r="8" ht="14.25" customHeight="1"/>
    <row r="9" ht="14.25" customHeight="1">
      <c r="A9" s="3" t="s">
        <v>10</v>
      </c>
      <c r="B9" s="3" t="s">
        <v>2</v>
      </c>
      <c r="C9" s="2" t="s">
        <v>2</v>
      </c>
      <c r="D9" s="2" t="s">
        <v>2</v>
      </c>
      <c r="E9" s="2" t="s">
        <v>2</v>
      </c>
      <c r="F9" s="2" t="s">
        <v>2</v>
      </c>
      <c r="G9" s="2" t="s">
        <v>2</v>
      </c>
      <c r="H9" s="2" t="s">
        <v>2</v>
      </c>
      <c r="I9" s="2" t="s">
        <v>2</v>
      </c>
      <c r="J9" s="2" t="s">
        <v>2</v>
      </c>
      <c r="K9" s="2" t="s">
        <v>2</v>
      </c>
      <c r="L9" s="2" t="s">
        <v>2</v>
      </c>
      <c r="M9" s="2" t="s">
        <v>2</v>
      </c>
      <c r="N9" s="2" t="s">
        <v>2</v>
      </c>
      <c r="O9" s="2" t="s">
        <v>2</v>
      </c>
      <c r="P9" s="2" t="s">
        <v>2</v>
      </c>
      <c r="Q9" s="2" t="s">
        <v>2</v>
      </c>
      <c r="R9" s="2" t="s">
        <v>2</v>
      </c>
      <c r="S9" s="2" t="s">
        <v>2</v>
      </c>
    </row>
    <row r="10" ht="14.25" customHeight="1">
      <c r="A10" s="1" t="s">
        <v>11</v>
      </c>
      <c r="B10" s="4" t="s">
        <v>12</v>
      </c>
      <c r="C10" s="2" t="s">
        <v>2</v>
      </c>
      <c r="D10" s="2" t="s">
        <v>2</v>
      </c>
      <c r="E10" s="2" t="s">
        <v>2</v>
      </c>
      <c r="F10" s="2" t="s">
        <v>2</v>
      </c>
      <c r="G10" s="2" t="s">
        <v>2</v>
      </c>
      <c r="H10" s="2" t="s">
        <v>2</v>
      </c>
      <c r="I10" s="2" t="s">
        <v>2</v>
      </c>
      <c r="J10" s="2" t="s">
        <v>2</v>
      </c>
      <c r="K10" s="2" t="s">
        <v>2</v>
      </c>
      <c r="L10" s="2" t="s">
        <v>2</v>
      </c>
      <c r="M10" s="2" t="s">
        <v>2</v>
      </c>
      <c r="N10" s="2" t="s">
        <v>2</v>
      </c>
      <c r="O10" s="2" t="s">
        <v>2</v>
      </c>
      <c r="P10" s="2" t="s">
        <v>2</v>
      </c>
      <c r="Q10" s="2" t="s">
        <v>2</v>
      </c>
      <c r="R10" s="2" t="s">
        <v>2</v>
      </c>
      <c r="S10" s="2" t="s">
        <v>2</v>
      </c>
    </row>
    <row r="11" ht="14.25" customHeight="1">
      <c r="A11" s="1" t="s">
        <v>13</v>
      </c>
      <c r="B11" s="4">
        <v>528.78</v>
      </c>
      <c r="C11" s="2" t="s">
        <v>2</v>
      </c>
      <c r="D11" s="2" t="s">
        <v>2</v>
      </c>
      <c r="E11" s="2" t="s">
        <v>2</v>
      </c>
      <c r="F11" s="2" t="s">
        <v>2</v>
      </c>
      <c r="G11" s="2" t="s">
        <v>2</v>
      </c>
      <c r="H11" s="2" t="s">
        <v>2</v>
      </c>
      <c r="I11" s="2" t="s">
        <v>2</v>
      </c>
      <c r="J11" s="2" t="s">
        <v>2</v>
      </c>
      <c r="K11" s="2" t="s">
        <v>2</v>
      </c>
      <c r="L11" s="2" t="s">
        <v>2</v>
      </c>
      <c r="M11" s="2" t="s">
        <v>2</v>
      </c>
      <c r="N11" s="2" t="s">
        <v>2</v>
      </c>
      <c r="O11" s="2" t="s">
        <v>2</v>
      </c>
      <c r="P11" s="2" t="s">
        <v>2</v>
      </c>
      <c r="Q11" s="2" t="s">
        <v>2</v>
      </c>
      <c r="R11" s="2" t="s">
        <v>2</v>
      </c>
      <c r="S11" s="2" t="s">
        <v>2</v>
      </c>
    </row>
    <row r="12" ht="14.25" customHeight="1">
      <c r="A12" s="1" t="s">
        <v>14</v>
      </c>
      <c r="B12" s="4">
        <v>528.78</v>
      </c>
      <c r="C12" s="2" t="s">
        <v>2</v>
      </c>
      <c r="D12" s="2" t="s">
        <v>2</v>
      </c>
      <c r="E12" s="2" t="s">
        <v>2</v>
      </c>
      <c r="F12" s="2" t="s">
        <v>2</v>
      </c>
      <c r="G12" s="2" t="s">
        <v>2</v>
      </c>
      <c r="H12" s="2" t="s">
        <v>2</v>
      </c>
      <c r="I12" s="2" t="s">
        <v>2</v>
      </c>
      <c r="J12" s="2" t="s">
        <v>2</v>
      </c>
      <c r="K12" s="2" t="s">
        <v>2</v>
      </c>
      <c r="L12" s="2" t="s">
        <v>2</v>
      </c>
      <c r="M12" s="2" t="s">
        <v>2</v>
      </c>
      <c r="N12" s="2" t="s">
        <v>2</v>
      </c>
      <c r="O12" s="2" t="s">
        <v>2</v>
      </c>
      <c r="P12" s="2" t="s">
        <v>2</v>
      </c>
      <c r="Q12" s="2" t="s">
        <v>2</v>
      </c>
      <c r="R12" s="2" t="s">
        <v>2</v>
      </c>
      <c r="S12" s="2" t="s">
        <v>2</v>
      </c>
    </row>
    <row r="13" ht="14.25" customHeight="1">
      <c r="A13" s="1" t="s">
        <v>15</v>
      </c>
      <c r="B13" s="4">
        <v>0.0</v>
      </c>
      <c r="C13" s="2" t="s">
        <v>2</v>
      </c>
      <c r="D13" s="2" t="s">
        <v>2</v>
      </c>
      <c r="E13" s="2" t="s">
        <v>2</v>
      </c>
      <c r="F13" s="2" t="s">
        <v>2</v>
      </c>
      <c r="G13" s="2" t="s">
        <v>2</v>
      </c>
      <c r="H13" s="2" t="s">
        <v>2</v>
      </c>
      <c r="I13" s="2" t="s">
        <v>2</v>
      </c>
      <c r="J13" s="2" t="s">
        <v>2</v>
      </c>
      <c r="K13" s="2" t="s">
        <v>2</v>
      </c>
      <c r="L13" s="2" t="s">
        <v>2</v>
      </c>
      <c r="M13" s="2" t="s">
        <v>2</v>
      </c>
      <c r="N13" s="2" t="s">
        <v>2</v>
      </c>
      <c r="O13" s="2" t="s">
        <v>2</v>
      </c>
      <c r="P13" s="2" t="s">
        <v>2</v>
      </c>
      <c r="Q13" s="2" t="s">
        <v>2</v>
      </c>
      <c r="R13" s="2" t="s">
        <v>2</v>
      </c>
      <c r="S13" s="2" t="s">
        <v>2</v>
      </c>
    </row>
    <row r="14" ht="14.25" customHeight="1">
      <c r="A14" s="4" t="s">
        <v>2</v>
      </c>
      <c r="B14" s="2" t="s">
        <v>2</v>
      </c>
      <c r="C14" s="2" t="s">
        <v>2</v>
      </c>
      <c r="D14" s="2" t="s">
        <v>2</v>
      </c>
      <c r="E14" s="2" t="s">
        <v>2</v>
      </c>
      <c r="F14" s="2" t="s">
        <v>2</v>
      </c>
      <c r="G14" s="2" t="s">
        <v>2</v>
      </c>
      <c r="H14" s="2" t="s">
        <v>2</v>
      </c>
      <c r="I14" s="2" t="s">
        <v>2</v>
      </c>
      <c r="J14" s="2" t="s">
        <v>2</v>
      </c>
      <c r="K14" s="2" t="s">
        <v>2</v>
      </c>
      <c r="L14" s="2" t="s">
        <v>2</v>
      </c>
      <c r="M14" s="2" t="s">
        <v>2</v>
      </c>
      <c r="N14" s="2" t="s">
        <v>2</v>
      </c>
      <c r="O14" s="2" t="s">
        <v>2</v>
      </c>
      <c r="P14" s="2" t="s">
        <v>2</v>
      </c>
      <c r="Q14" s="2" t="s">
        <v>2</v>
      </c>
      <c r="R14" s="2" t="s">
        <v>2</v>
      </c>
      <c r="S14" s="2" t="s">
        <v>2</v>
      </c>
    </row>
    <row r="15" ht="14.25" customHeight="1">
      <c r="A15" s="3" t="s">
        <v>16</v>
      </c>
      <c r="B15" s="3" t="s">
        <v>2</v>
      </c>
      <c r="C15" s="2" t="s">
        <v>2</v>
      </c>
      <c r="D15" s="2" t="s">
        <v>2</v>
      </c>
      <c r="E15" s="2" t="s">
        <v>2</v>
      </c>
      <c r="F15" s="2" t="s">
        <v>2</v>
      </c>
      <c r="G15" s="2" t="s">
        <v>2</v>
      </c>
      <c r="H15" s="2" t="s">
        <v>2</v>
      </c>
      <c r="I15" s="2" t="s">
        <v>2</v>
      </c>
      <c r="J15" s="2" t="s">
        <v>2</v>
      </c>
      <c r="K15" s="2" t="s">
        <v>2</v>
      </c>
      <c r="L15" s="2" t="s">
        <v>2</v>
      </c>
      <c r="M15" s="2" t="s">
        <v>2</v>
      </c>
      <c r="N15" s="2" t="s">
        <v>2</v>
      </c>
      <c r="O15" s="2" t="s">
        <v>2</v>
      </c>
      <c r="P15" s="2" t="s">
        <v>2</v>
      </c>
      <c r="Q15" s="2" t="s">
        <v>2</v>
      </c>
      <c r="R15" s="2" t="s">
        <v>2</v>
      </c>
      <c r="S15" s="2" t="s">
        <v>2</v>
      </c>
    </row>
    <row r="16" ht="14.25" customHeight="1">
      <c r="A16" s="1" t="s">
        <v>17</v>
      </c>
      <c r="B16" s="4">
        <v>335.26</v>
      </c>
      <c r="C16" s="2" t="s">
        <v>2</v>
      </c>
      <c r="D16" s="2" t="s">
        <v>2</v>
      </c>
      <c r="E16" s="2" t="s">
        <v>2</v>
      </c>
      <c r="F16" s="2" t="s">
        <v>2</v>
      </c>
      <c r="G16" s="2" t="s">
        <v>2</v>
      </c>
      <c r="H16" s="2" t="s">
        <v>2</v>
      </c>
      <c r="I16" s="2" t="s">
        <v>2</v>
      </c>
      <c r="J16" s="2" t="s">
        <v>2</v>
      </c>
      <c r="K16" s="2" t="s">
        <v>2</v>
      </c>
      <c r="L16" s="2" t="s">
        <v>2</v>
      </c>
      <c r="M16" s="2" t="s">
        <v>2</v>
      </c>
      <c r="N16" s="2" t="s">
        <v>2</v>
      </c>
      <c r="O16" s="2" t="s">
        <v>2</v>
      </c>
      <c r="P16" s="2" t="s">
        <v>2</v>
      </c>
      <c r="Q16" s="2" t="s">
        <v>2</v>
      </c>
      <c r="R16" s="2" t="s">
        <v>2</v>
      </c>
      <c r="S16" s="2" t="s">
        <v>2</v>
      </c>
    </row>
    <row r="17" ht="14.25" customHeight="1">
      <c r="A17" s="1" t="s">
        <v>18</v>
      </c>
      <c r="B17" s="4">
        <v>60.98</v>
      </c>
      <c r="C17" s="2" t="s">
        <v>2</v>
      </c>
      <c r="D17" s="2" t="s">
        <v>2</v>
      </c>
      <c r="E17" s="2" t="s">
        <v>2</v>
      </c>
      <c r="F17" s="2" t="s">
        <v>2</v>
      </c>
      <c r="G17" s="2" t="s">
        <v>2</v>
      </c>
      <c r="H17" s="2" t="s">
        <v>2</v>
      </c>
      <c r="I17" s="2" t="s">
        <v>2</v>
      </c>
      <c r="J17" s="2" t="s">
        <v>2</v>
      </c>
      <c r="K17" s="2" t="s">
        <v>2</v>
      </c>
      <c r="L17" s="2" t="s">
        <v>2</v>
      </c>
      <c r="M17" s="2" t="s">
        <v>2</v>
      </c>
      <c r="N17" s="2" t="s">
        <v>2</v>
      </c>
      <c r="O17" s="2" t="s">
        <v>2</v>
      </c>
      <c r="P17" s="2" t="s">
        <v>2</v>
      </c>
      <c r="Q17" s="2" t="s">
        <v>2</v>
      </c>
      <c r="R17" s="2" t="s">
        <v>2</v>
      </c>
      <c r="S17" s="2" t="s">
        <v>2</v>
      </c>
    </row>
    <row r="18" ht="14.25" customHeight="1">
      <c r="A18" s="1" t="s">
        <v>19</v>
      </c>
      <c r="B18" s="4">
        <v>0.11</v>
      </c>
      <c r="C18" s="2" t="s">
        <v>2</v>
      </c>
      <c r="D18" s="2" t="s">
        <v>2</v>
      </c>
      <c r="E18" s="2" t="s">
        <v>2</v>
      </c>
      <c r="F18" s="2" t="s">
        <v>2</v>
      </c>
      <c r="G18" s="2" t="s">
        <v>2</v>
      </c>
      <c r="H18" s="2" t="s">
        <v>2</v>
      </c>
      <c r="I18" s="2" t="s">
        <v>2</v>
      </c>
      <c r="J18" s="2" t="s">
        <v>2</v>
      </c>
      <c r="K18" s="2" t="s">
        <v>2</v>
      </c>
      <c r="L18" s="2" t="s">
        <v>2</v>
      </c>
      <c r="M18" s="2" t="s">
        <v>2</v>
      </c>
      <c r="N18" s="2" t="s">
        <v>2</v>
      </c>
      <c r="O18" s="2" t="s">
        <v>2</v>
      </c>
      <c r="P18" s="2" t="s">
        <v>2</v>
      </c>
      <c r="Q18" s="2" t="s">
        <v>2</v>
      </c>
      <c r="R18" s="2" t="s">
        <v>2</v>
      </c>
      <c r="S18" s="2" t="s">
        <v>2</v>
      </c>
    </row>
    <row r="19" ht="14.25" customHeight="1">
      <c r="A19" s="1" t="s">
        <v>20</v>
      </c>
      <c r="B19" s="4">
        <v>112.0</v>
      </c>
      <c r="C19" s="2" t="s">
        <v>2</v>
      </c>
      <c r="D19" s="2" t="s">
        <v>2</v>
      </c>
      <c r="E19" s="2" t="s">
        <v>2</v>
      </c>
      <c r="F19" s="2" t="s">
        <v>2</v>
      </c>
      <c r="G19" s="2" t="s">
        <v>2</v>
      </c>
      <c r="H19" s="2" t="s">
        <v>2</v>
      </c>
      <c r="I19" s="2" t="s">
        <v>2</v>
      </c>
      <c r="J19" s="2" t="s">
        <v>2</v>
      </c>
      <c r="K19" s="2" t="s">
        <v>2</v>
      </c>
      <c r="L19" s="2" t="s">
        <v>2</v>
      </c>
      <c r="M19" s="2" t="s">
        <v>2</v>
      </c>
      <c r="N19" s="2" t="s">
        <v>2</v>
      </c>
      <c r="O19" s="2" t="s">
        <v>2</v>
      </c>
      <c r="P19" s="2" t="s">
        <v>2</v>
      </c>
      <c r="Q19" s="2" t="s">
        <v>2</v>
      </c>
      <c r="R19" s="2" t="s">
        <v>2</v>
      </c>
      <c r="S19" s="2" t="s">
        <v>2</v>
      </c>
    </row>
    <row r="20" ht="14.25" customHeight="1">
      <c r="A20" s="1" t="s">
        <v>21</v>
      </c>
      <c r="B20" s="4">
        <v>3.43</v>
      </c>
      <c r="C20" s="2" t="s">
        <v>2</v>
      </c>
      <c r="D20" s="2" t="s">
        <v>2</v>
      </c>
      <c r="E20" s="2" t="s">
        <v>2</v>
      </c>
      <c r="F20" s="2" t="s">
        <v>2</v>
      </c>
      <c r="G20" s="2" t="s">
        <v>2</v>
      </c>
      <c r="H20" s="2" t="s">
        <v>2</v>
      </c>
      <c r="I20" s="2" t="s">
        <v>2</v>
      </c>
      <c r="J20" s="2" t="s">
        <v>2</v>
      </c>
      <c r="K20" s="2" t="s">
        <v>2</v>
      </c>
      <c r="L20" s="2" t="s">
        <v>2</v>
      </c>
      <c r="M20" s="2" t="s">
        <v>2</v>
      </c>
      <c r="N20" s="2" t="s">
        <v>2</v>
      </c>
      <c r="O20" s="2" t="s">
        <v>2</v>
      </c>
      <c r="P20" s="2" t="s">
        <v>2</v>
      </c>
      <c r="Q20" s="2" t="s">
        <v>2</v>
      </c>
      <c r="R20" s="2" t="s">
        <v>2</v>
      </c>
      <c r="S20" s="2" t="s">
        <v>2</v>
      </c>
    </row>
    <row r="21" ht="14.25" customHeight="1">
      <c r="A21" s="1" t="s">
        <v>22</v>
      </c>
      <c r="B21" s="4">
        <v>17.0</v>
      </c>
      <c r="C21" s="2" t="s">
        <v>2</v>
      </c>
      <c r="D21" s="2" t="s">
        <v>2</v>
      </c>
      <c r="E21" s="2" t="s">
        <v>2</v>
      </c>
      <c r="F21" s="2" t="s">
        <v>2</v>
      </c>
      <c r="G21" s="2" t="s">
        <v>2</v>
      </c>
      <c r="H21" s="2" t="s">
        <v>2</v>
      </c>
      <c r="I21" s="2" t="s">
        <v>2</v>
      </c>
      <c r="J21" s="2" t="s">
        <v>2</v>
      </c>
      <c r="K21" s="2" t="s">
        <v>2</v>
      </c>
      <c r="L21" s="2" t="s">
        <v>2</v>
      </c>
      <c r="M21" s="2" t="s">
        <v>2</v>
      </c>
      <c r="N21" s="2" t="s">
        <v>2</v>
      </c>
      <c r="O21" s="2" t="s">
        <v>2</v>
      </c>
      <c r="P21" s="2" t="s">
        <v>2</v>
      </c>
      <c r="Q21" s="2" t="s">
        <v>2</v>
      </c>
      <c r="R21" s="2" t="s">
        <v>2</v>
      </c>
      <c r="S21" s="2" t="s">
        <v>2</v>
      </c>
    </row>
    <row r="22" ht="14.25" customHeight="1">
      <c r="A22" s="1" t="s">
        <v>23</v>
      </c>
      <c r="B22" s="4">
        <v>0.0</v>
      </c>
      <c r="C22" s="2" t="s">
        <v>2</v>
      </c>
      <c r="D22" s="2" t="s">
        <v>2</v>
      </c>
      <c r="E22" s="2" t="s">
        <v>2</v>
      </c>
      <c r="F22" s="2" t="s">
        <v>2</v>
      </c>
      <c r="G22" s="2" t="s">
        <v>2</v>
      </c>
      <c r="H22" s="2" t="s">
        <v>2</v>
      </c>
      <c r="I22" s="2" t="s">
        <v>2</v>
      </c>
      <c r="J22" s="2" t="s">
        <v>2</v>
      </c>
      <c r="K22" s="2" t="s">
        <v>2</v>
      </c>
      <c r="L22" s="2" t="s">
        <v>2</v>
      </c>
      <c r="M22" s="2" t="s">
        <v>2</v>
      </c>
      <c r="N22" s="2" t="s">
        <v>2</v>
      </c>
      <c r="O22" s="2" t="s">
        <v>2</v>
      </c>
      <c r="P22" s="2" t="s">
        <v>2</v>
      </c>
      <c r="Q22" s="2" t="s">
        <v>2</v>
      </c>
      <c r="R22" s="2" t="s">
        <v>2</v>
      </c>
      <c r="S22" s="2" t="s">
        <v>2</v>
      </c>
    </row>
    <row r="23" ht="14.25" customHeight="1">
      <c r="A23" s="1" t="s">
        <v>24</v>
      </c>
      <c r="B23" s="4">
        <v>0.0</v>
      </c>
      <c r="C23" s="2" t="s">
        <v>2</v>
      </c>
      <c r="D23" s="2" t="s">
        <v>2</v>
      </c>
      <c r="E23" s="2" t="s">
        <v>2</v>
      </c>
      <c r="F23" s="2" t="s">
        <v>2</v>
      </c>
      <c r="G23" s="2" t="s">
        <v>2</v>
      </c>
      <c r="H23" s="2" t="s">
        <v>2</v>
      </c>
      <c r="I23" s="2" t="s">
        <v>2</v>
      </c>
      <c r="J23" s="2" t="s">
        <v>2</v>
      </c>
      <c r="K23" s="2" t="s">
        <v>2</v>
      </c>
      <c r="L23" s="2" t="s">
        <v>2</v>
      </c>
      <c r="M23" s="2" t="s">
        <v>2</v>
      </c>
      <c r="N23" s="2" t="s">
        <v>2</v>
      </c>
      <c r="O23" s="2" t="s">
        <v>2</v>
      </c>
      <c r="P23" s="2" t="s">
        <v>2</v>
      </c>
      <c r="Q23" s="2" t="s">
        <v>2</v>
      </c>
      <c r="R23" s="2" t="s">
        <v>2</v>
      </c>
      <c r="S23" s="2" t="s">
        <v>2</v>
      </c>
    </row>
    <row r="24" ht="14.25" customHeight="1">
      <c r="A24" s="4" t="s">
        <v>2</v>
      </c>
      <c r="B24" s="2" t="s">
        <v>2</v>
      </c>
      <c r="C24" s="2" t="s">
        <v>2</v>
      </c>
      <c r="D24" s="2" t="s">
        <v>2</v>
      </c>
      <c r="E24" s="2" t="s">
        <v>2</v>
      </c>
      <c r="F24" s="2" t="s">
        <v>2</v>
      </c>
      <c r="G24" s="2" t="s">
        <v>2</v>
      </c>
      <c r="H24" s="2" t="s">
        <v>2</v>
      </c>
      <c r="I24" s="2" t="s">
        <v>2</v>
      </c>
      <c r="J24" s="2" t="s">
        <v>2</v>
      </c>
      <c r="K24" s="2" t="s">
        <v>2</v>
      </c>
      <c r="L24" s="2" t="s">
        <v>2</v>
      </c>
      <c r="M24" s="2" t="s">
        <v>2</v>
      </c>
      <c r="N24" s="2" t="s">
        <v>2</v>
      </c>
      <c r="O24" s="2" t="s">
        <v>2</v>
      </c>
      <c r="P24" s="2" t="s">
        <v>2</v>
      </c>
      <c r="Q24" s="2" t="s">
        <v>2</v>
      </c>
      <c r="R24" s="2" t="s">
        <v>2</v>
      </c>
      <c r="S24" s="2" t="s">
        <v>2</v>
      </c>
    </row>
    <row r="25" ht="14.25" customHeight="1">
      <c r="A25" s="3" t="s">
        <v>25</v>
      </c>
      <c r="B25" s="3" t="s">
        <v>2</v>
      </c>
      <c r="C25" s="2" t="s">
        <v>2</v>
      </c>
      <c r="D25" s="2" t="s">
        <v>2</v>
      </c>
      <c r="E25" s="2" t="s">
        <v>2</v>
      </c>
      <c r="F25" s="2" t="s">
        <v>2</v>
      </c>
      <c r="G25" s="2" t="s">
        <v>2</v>
      </c>
      <c r="H25" s="2" t="s">
        <v>2</v>
      </c>
      <c r="I25" s="2" t="s">
        <v>2</v>
      </c>
      <c r="J25" s="2" t="s">
        <v>2</v>
      </c>
      <c r="K25" s="2" t="s">
        <v>2</v>
      </c>
      <c r="L25" s="2" t="s">
        <v>2</v>
      </c>
      <c r="M25" s="2" t="s">
        <v>2</v>
      </c>
      <c r="N25" s="2" t="s">
        <v>2</v>
      </c>
      <c r="O25" s="2" t="s">
        <v>2</v>
      </c>
      <c r="P25" s="2" t="s">
        <v>2</v>
      </c>
      <c r="Q25" s="2" t="s">
        <v>2</v>
      </c>
      <c r="R25" s="2" t="s">
        <v>2</v>
      </c>
      <c r="S25" s="2" t="s">
        <v>2</v>
      </c>
    </row>
    <row r="26" ht="14.25" customHeight="1">
      <c r="A26" s="1" t="s">
        <v>26</v>
      </c>
      <c r="B26" s="4">
        <v>0.0</v>
      </c>
      <c r="C26" s="2" t="s">
        <v>2</v>
      </c>
      <c r="D26" s="2" t="s">
        <v>2</v>
      </c>
      <c r="E26" s="2" t="s">
        <v>2</v>
      </c>
      <c r="F26" s="2" t="s">
        <v>2</v>
      </c>
      <c r="G26" s="2" t="s">
        <v>2</v>
      </c>
      <c r="H26" s="2" t="s">
        <v>2</v>
      </c>
      <c r="I26" s="2" t="s">
        <v>2</v>
      </c>
      <c r="J26" s="2" t="s">
        <v>2</v>
      </c>
      <c r="K26" s="2" t="s">
        <v>2</v>
      </c>
      <c r="L26" s="2" t="s">
        <v>2</v>
      </c>
      <c r="M26" s="2" t="s">
        <v>2</v>
      </c>
      <c r="N26" s="2" t="s">
        <v>2</v>
      </c>
      <c r="O26" s="2" t="s">
        <v>2</v>
      </c>
      <c r="P26" s="2" t="s">
        <v>2</v>
      </c>
      <c r="Q26" s="2" t="s">
        <v>2</v>
      </c>
      <c r="R26" s="2" t="s">
        <v>2</v>
      </c>
      <c r="S26" s="2" t="s">
        <v>2</v>
      </c>
    </row>
    <row r="27" ht="14.25" customHeight="1">
      <c r="A27" s="1" t="s">
        <v>27</v>
      </c>
      <c r="B27" s="4">
        <v>0.0</v>
      </c>
      <c r="C27" s="2" t="s">
        <v>2</v>
      </c>
      <c r="D27" s="2" t="s">
        <v>2</v>
      </c>
      <c r="E27" s="2" t="s">
        <v>2</v>
      </c>
      <c r="F27" s="2" t="s">
        <v>2</v>
      </c>
      <c r="G27" s="2" t="s">
        <v>2</v>
      </c>
      <c r="H27" s="2" t="s">
        <v>2</v>
      </c>
      <c r="I27" s="2" t="s">
        <v>2</v>
      </c>
      <c r="J27" s="2" t="s">
        <v>2</v>
      </c>
      <c r="K27" s="2" t="s">
        <v>2</v>
      </c>
      <c r="L27" s="2" t="s">
        <v>2</v>
      </c>
      <c r="M27" s="2" t="s">
        <v>2</v>
      </c>
      <c r="N27" s="2" t="s">
        <v>2</v>
      </c>
      <c r="O27" s="2" t="s">
        <v>2</v>
      </c>
      <c r="P27" s="2" t="s">
        <v>2</v>
      </c>
      <c r="Q27" s="2" t="s">
        <v>2</v>
      </c>
      <c r="R27" s="2" t="s">
        <v>2</v>
      </c>
      <c r="S27" s="2" t="s">
        <v>2</v>
      </c>
    </row>
    <row r="28" ht="14.25" customHeight="1">
      <c r="A28" s="1" t="s">
        <v>28</v>
      </c>
      <c r="B28" s="4">
        <v>0.0</v>
      </c>
      <c r="C28" s="2" t="s">
        <v>2</v>
      </c>
      <c r="D28" s="2" t="s">
        <v>2</v>
      </c>
      <c r="E28" s="2" t="s">
        <v>2</v>
      </c>
      <c r="F28" s="2" t="s">
        <v>2</v>
      </c>
      <c r="G28" s="2" t="s">
        <v>2</v>
      </c>
      <c r="H28" s="2" t="s">
        <v>2</v>
      </c>
      <c r="I28" s="2" t="s">
        <v>2</v>
      </c>
      <c r="J28" s="2" t="s">
        <v>2</v>
      </c>
      <c r="K28" s="2" t="s">
        <v>2</v>
      </c>
      <c r="L28" s="2" t="s">
        <v>2</v>
      </c>
      <c r="M28" s="2" t="s">
        <v>2</v>
      </c>
      <c r="N28" s="2" t="s">
        <v>2</v>
      </c>
      <c r="O28" s="2" t="s">
        <v>2</v>
      </c>
      <c r="P28" s="2" t="s">
        <v>2</v>
      </c>
      <c r="Q28" s="2" t="s">
        <v>2</v>
      </c>
      <c r="R28" s="2" t="s">
        <v>2</v>
      </c>
      <c r="S28" s="2" t="s">
        <v>2</v>
      </c>
    </row>
    <row r="29" ht="14.25" customHeight="1">
      <c r="A29" s="1" t="s">
        <v>29</v>
      </c>
      <c r="B29" s="4">
        <v>0.0</v>
      </c>
      <c r="C29" s="2" t="s">
        <v>2</v>
      </c>
      <c r="D29" s="2" t="s">
        <v>2</v>
      </c>
      <c r="G29" s="2" t="s">
        <v>2</v>
      </c>
      <c r="H29" s="2" t="s">
        <v>2</v>
      </c>
      <c r="I29" s="2" t="s">
        <v>2</v>
      </c>
      <c r="J29" s="2" t="s">
        <v>2</v>
      </c>
      <c r="K29" s="2" t="s">
        <v>2</v>
      </c>
      <c r="L29" s="2" t="s">
        <v>2</v>
      </c>
      <c r="M29" s="2" t="s">
        <v>2</v>
      </c>
      <c r="N29" s="2" t="s">
        <v>2</v>
      </c>
      <c r="O29" s="2" t="s">
        <v>2</v>
      </c>
      <c r="P29" s="2" t="s">
        <v>2</v>
      </c>
      <c r="Q29" s="2" t="s">
        <v>2</v>
      </c>
      <c r="R29" s="2" t="s">
        <v>2</v>
      </c>
      <c r="S29" s="2" t="s">
        <v>2</v>
      </c>
    </row>
    <row r="30" ht="14.25" customHeight="1">
      <c r="A30" s="1" t="s">
        <v>30</v>
      </c>
      <c r="B30" s="4">
        <v>0.0</v>
      </c>
      <c r="C30" s="2" t="s">
        <v>2</v>
      </c>
      <c r="D30" s="2" t="s">
        <v>2</v>
      </c>
      <c r="G30" s="2" t="s">
        <v>2</v>
      </c>
      <c r="H30" s="2" t="s">
        <v>2</v>
      </c>
      <c r="I30" s="2" t="s">
        <v>2</v>
      </c>
      <c r="J30" s="2" t="s">
        <v>2</v>
      </c>
      <c r="K30" s="2" t="s">
        <v>2</v>
      </c>
      <c r="L30" s="2" t="s">
        <v>2</v>
      </c>
      <c r="M30" s="2" t="s">
        <v>2</v>
      </c>
      <c r="N30" s="2" t="s">
        <v>2</v>
      </c>
      <c r="O30" s="2" t="s">
        <v>2</v>
      </c>
      <c r="P30" s="2" t="s">
        <v>2</v>
      </c>
      <c r="Q30" s="2" t="s">
        <v>2</v>
      </c>
      <c r="R30" s="2" t="s">
        <v>2</v>
      </c>
      <c r="S30" s="2" t="s">
        <v>2</v>
      </c>
    </row>
    <row r="31" ht="14.25" customHeight="1">
      <c r="A31" s="1" t="s">
        <v>31</v>
      </c>
      <c r="B31" s="4">
        <v>0.0</v>
      </c>
      <c r="C31" s="2" t="s">
        <v>2</v>
      </c>
      <c r="D31" s="2" t="s">
        <v>2</v>
      </c>
      <c r="G31" s="2" t="s">
        <v>2</v>
      </c>
      <c r="H31" s="2" t="s">
        <v>2</v>
      </c>
      <c r="I31" s="2" t="s">
        <v>2</v>
      </c>
      <c r="J31" s="2" t="s">
        <v>2</v>
      </c>
      <c r="K31" s="2" t="s">
        <v>2</v>
      </c>
      <c r="L31" s="2" t="s">
        <v>2</v>
      </c>
      <c r="M31" s="2" t="s">
        <v>2</v>
      </c>
      <c r="N31" s="2" t="s">
        <v>2</v>
      </c>
      <c r="O31" s="2" t="s">
        <v>2</v>
      </c>
      <c r="P31" s="2" t="s">
        <v>2</v>
      </c>
      <c r="Q31" s="2" t="s">
        <v>2</v>
      </c>
      <c r="R31" s="2" t="s">
        <v>2</v>
      </c>
      <c r="S31" s="2" t="s">
        <v>2</v>
      </c>
    </row>
    <row r="32" ht="14.25" customHeight="1"/>
    <row r="33" ht="14.25" customHeight="1"/>
    <row r="34" ht="14.25" customHeight="1">
      <c r="A34" s="3" t="s">
        <v>32</v>
      </c>
      <c r="B34" s="3" t="s">
        <v>2</v>
      </c>
      <c r="C34" s="2" t="s">
        <v>2</v>
      </c>
      <c r="D34" s="2" t="s">
        <v>2</v>
      </c>
      <c r="E34" s="2" t="s">
        <v>2</v>
      </c>
      <c r="F34" s="2" t="s">
        <v>2</v>
      </c>
      <c r="G34" s="2" t="s">
        <v>2</v>
      </c>
      <c r="H34" s="2" t="s">
        <v>2</v>
      </c>
      <c r="I34" s="2" t="s">
        <v>2</v>
      </c>
      <c r="J34" s="2" t="s">
        <v>2</v>
      </c>
      <c r="K34" s="2" t="s">
        <v>2</v>
      </c>
      <c r="L34" s="2" t="s">
        <v>2</v>
      </c>
      <c r="M34" s="2" t="s">
        <v>2</v>
      </c>
      <c r="N34" s="2" t="s">
        <v>2</v>
      </c>
      <c r="O34" s="2" t="s">
        <v>2</v>
      </c>
      <c r="P34" s="2" t="s">
        <v>2</v>
      </c>
      <c r="Q34" s="2" t="s">
        <v>2</v>
      </c>
      <c r="R34" s="2" t="s">
        <v>2</v>
      </c>
      <c r="S34" s="2" t="s">
        <v>2</v>
      </c>
    </row>
    <row r="35" ht="14.25" customHeight="1">
      <c r="A35" s="1" t="s">
        <v>33</v>
      </c>
      <c r="B35" s="1" t="s">
        <v>34</v>
      </c>
      <c r="C35" s="1" t="s">
        <v>35</v>
      </c>
      <c r="D35" s="1" t="s">
        <v>36</v>
      </c>
      <c r="E35" s="1" t="s">
        <v>37</v>
      </c>
      <c r="F35" s="1" t="s">
        <v>17</v>
      </c>
      <c r="G35" s="1" t="s">
        <v>18</v>
      </c>
      <c r="H35" s="1" t="s">
        <v>20</v>
      </c>
      <c r="I35" s="1" t="s">
        <v>38</v>
      </c>
      <c r="J35" s="1" t="s">
        <v>21</v>
      </c>
      <c r="K35" s="1" t="s">
        <v>22</v>
      </c>
      <c r="L35" s="1" t="s">
        <v>23</v>
      </c>
      <c r="M35" s="1" t="s">
        <v>24</v>
      </c>
      <c r="N35" s="1" t="s">
        <v>39</v>
      </c>
      <c r="O35" s="1" t="s">
        <v>40</v>
      </c>
      <c r="P35" s="1" t="s">
        <v>41</v>
      </c>
      <c r="Q35" s="1" t="s">
        <v>42</v>
      </c>
      <c r="R35" s="1" t="s">
        <v>43</v>
      </c>
      <c r="S35" s="1" t="s">
        <v>44</v>
      </c>
    </row>
    <row r="36" ht="14.25" customHeight="1">
      <c r="A36" s="4" t="s">
        <v>45</v>
      </c>
      <c r="B36" s="4" t="s">
        <v>46</v>
      </c>
      <c r="C36" s="4">
        <v>758.0</v>
      </c>
      <c r="D36" s="4" t="s">
        <v>2</v>
      </c>
      <c r="E36" s="4">
        <v>23.0</v>
      </c>
      <c r="F36" s="4">
        <v>52.3</v>
      </c>
      <c r="G36" s="4">
        <v>9.51</v>
      </c>
      <c r="H36" s="4">
        <v>17.43</v>
      </c>
      <c r="I36" s="4">
        <v>0.02</v>
      </c>
      <c r="J36" s="4">
        <v>0.54</v>
      </c>
      <c r="K36" s="4">
        <v>2.62</v>
      </c>
      <c r="L36" s="4">
        <v>0.0</v>
      </c>
      <c r="M36" s="4">
        <v>0.0</v>
      </c>
      <c r="N36" s="4" t="s">
        <v>47</v>
      </c>
      <c r="O36" s="4" t="s">
        <v>48</v>
      </c>
      <c r="P36" s="4" t="s">
        <v>49</v>
      </c>
      <c r="Q36" s="4" t="s">
        <v>50</v>
      </c>
      <c r="R36" s="4" t="s">
        <v>51</v>
      </c>
      <c r="S36" s="5">
        <v>46162.0</v>
      </c>
    </row>
    <row r="37" ht="14.25" customHeight="1">
      <c r="A37" s="4" t="s">
        <v>52</v>
      </c>
      <c r="B37" s="4" t="s">
        <v>46</v>
      </c>
      <c r="C37" s="4">
        <v>916.35</v>
      </c>
      <c r="D37" s="4" t="s">
        <v>2</v>
      </c>
      <c r="E37" s="4">
        <v>1.0</v>
      </c>
      <c r="F37" s="4">
        <v>2.75</v>
      </c>
      <c r="G37" s="4">
        <v>0.5</v>
      </c>
      <c r="H37" s="4">
        <v>0.92</v>
      </c>
      <c r="I37" s="4">
        <v>0.0</v>
      </c>
      <c r="J37" s="4">
        <v>0.03</v>
      </c>
      <c r="K37" s="4">
        <v>0.14</v>
      </c>
      <c r="L37" s="4">
        <v>0.0</v>
      </c>
      <c r="M37" s="4">
        <v>0.0</v>
      </c>
      <c r="N37" s="4" t="s">
        <v>47</v>
      </c>
      <c r="O37" s="4" t="s">
        <v>48</v>
      </c>
      <c r="P37" s="4" t="s">
        <v>49</v>
      </c>
      <c r="Q37" s="4" t="s">
        <v>53</v>
      </c>
      <c r="R37" s="4" t="s">
        <v>54</v>
      </c>
      <c r="S37" s="5">
        <v>46162.0</v>
      </c>
    </row>
    <row r="38" ht="14.25" customHeight="1">
      <c r="A38" s="4" t="s">
        <v>45</v>
      </c>
      <c r="B38" s="4" t="s">
        <v>46</v>
      </c>
      <c r="C38" s="4">
        <v>758.0</v>
      </c>
      <c r="D38" s="4" t="s">
        <v>2</v>
      </c>
      <c r="E38" s="4">
        <v>1.0</v>
      </c>
      <c r="F38" s="4">
        <v>2.27</v>
      </c>
      <c r="G38" s="4">
        <v>0.41</v>
      </c>
      <c r="H38" s="4">
        <v>0.98</v>
      </c>
      <c r="I38" s="4">
        <v>0.0</v>
      </c>
      <c r="J38" s="4">
        <v>0.02</v>
      </c>
      <c r="K38" s="4">
        <v>0.25</v>
      </c>
      <c r="L38" s="4">
        <v>0.0</v>
      </c>
      <c r="M38" s="4">
        <v>0.0</v>
      </c>
      <c r="N38" s="4" t="s">
        <v>47</v>
      </c>
      <c r="O38" s="4" t="s">
        <v>48</v>
      </c>
      <c r="P38" s="4" t="s">
        <v>49</v>
      </c>
      <c r="Q38" s="4" t="s">
        <v>50</v>
      </c>
      <c r="R38" s="4" t="s">
        <v>55</v>
      </c>
      <c r="S38" s="5">
        <v>46162.0</v>
      </c>
    </row>
    <row r="39" ht="14.25" customHeight="1">
      <c r="A39" s="4" t="s">
        <v>52</v>
      </c>
      <c r="B39" s="4" t="s">
        <v>46</v>
      </c>
      <c r="C39" s="4">
        <v>915.35</v>
      </c>
      <c r="D39" s="4" t="s">
        <v>2</v>
      </c>
      <c r="E39" s="4">
        <v>24.0</v>
      </c>
      <c r="F39" s="4">
        <v>65.91</v>
      </c>
      <c r="G39" s="4">
        <v>11.99</v>
      </c>
      <c r="H39" s="4">
        <v>21.97</v>
      </c>
      <c r="I39" s="4">
        <v>0.02</v>
      </c>
      <c r="J39" s="4">
        <v>0.67</v>
      </c>
      <c r="K39" s="4">
        <v>3.3</v>
      </c>
      <c r="L39" s="4">
        <v>0.0</v>
      </c>
      <c r="M39" s="4">
        <v>0.0</v>
      </c>
      <c r="N39" s="4" t="s">
        <v>47</v>
      </c>
      <c r="O39" s="4" t="s">
        <v>48</v>
      </c>
      <c r="P39" s="4" t="s">
        <v>49</v>
      </c>
      <c r="Q39" s="4" t="s">
        <v>56</v>
      </c>
      <c r="R39" s="4" t="s">
        <v>57</v>
      </c>
      <c r="S39" s="5">
        <v>46162.0</v>
      </c>
    </row>
    <row r="40" ht="14.25" customHeight="1">
      <c r="A40" s="4" t="s">
        <v>58</v>
      </c>
      <c r="B40" s="4" t="s">
        <v>46</v>
      </c>
      <c r="C40" s="4">
        <v>243.28</v>
      </c>
      <c r="D40" s="4" t="s">
        <v>2</v>
      </c>
      <c r="E40" s="4">
        <v>10.0</v>
      </c>
      <c r="F40" s="4">
        <v>7.3</v>
      </c>
      <c r="G40" s="4">
        <v>1.33</v>
      </c>
      <c r="H40" s="4">
        <v>2.43</v>
      </c>
      <c r="I40" s="4">
        <v>0.0</v>
      </c>
      <c r="J40" s="4">
        <v>0.07</v>
      </c>
      <c r="K40" s="4">
        <v>0.36</v>
      </c>
      <c r="L40" s="4">
        <v>0.0</v>
      </c>
      <c r="M40" s="4">
        <v>0.0</v>
      </c>
      <c r="N40" s="4" t="s">
        <v>47</v>
      </c>
      <c r="O40" s="4" t="s">
        <v>48</v>
      </c>
      <c r="P40" s="4" t="s">
        <v>49</v>
      </c>
      <c r="Q40" s="4" t="s">
        <v>59</v>
      </c>
      <c r="R40" s="4" t="s">
        <v>60</v>
      </c>
      <c r="S40" s="5">
        <v>46162.0</v>
      </c>
    </row>
    <row r="41" ht="14.25" customHeight="1">
      <c r="A41" s="4" t="s">
        <v>45</v>
      </c>
      <c r="B41" s="4" t="s">
        <v>46</v>
      </c>
      <c r="C41" s="4">
        <v>758.0</v>
      </c>
      <c r="D41" s="4" t="s">
        <v>2</v>
      </c>
      <c r="E41" s="4">
        <v>3.0</v>
      </c>
      <c r="F41" s="4">
        <v>6.82</v>
      </c>
      <c r="G41" s="4">
        <v>1.24</v>
      </c>
      <c r="H41" s="4">
        <v>2.27</v>
      </c>
      <c r="I41" s="4">
        <v>0.0</v>
      </c>
      <c r="J41" s="4">
        <v>0.07</v>
      </c>
      <c r="K41" s="4">
        <v>0.34</v>
      </c>
      <c r="L41" s="4">
        <v>0.0</v>
      </c>
      <c r="M41" s="4">
        <v>0.0</v>
      </c>
      <c r="N41" s="4" t="s">
        <v>47</v>
      </c>
      <c r="O41" s="4" t="s">
        <v>48</v>
      </c>
      <c r="P41" s="4" t="s">
        <v>49</v>
      </c>
      <c r="Q41" s="4" t="s">
        <v>50</v>
      </c>
      <c r="R41" s="4" t="s">
        <v>61</v>
      </c>
      <c r="S41" s="5">
        <v>46162.0</v>
      </c>
    </row>
    <row r="42" ht="14.25" customHeight="1">
      <c r="A42" s="4" t="s">
        <v>62</v>
      </c>
      <c r="B42" s="4" t="s">
        <v>46</v>
      </c>
      <c r="C42" s="4">
        <v>912.95</v>
      </c>
      <c r="D42" s="4" t="s">
        <v>2</v>
      </c>
      <c r="E42" s="4">
        <v>5.0</v>
      </c>
      <c r="F42" s="4">
        <v>13.69</v>
      </c>
      <c r="G42" s="4">
        <v>2.49</v>
      </c>
      <c r="H42" s="4">
        <v>5.0</v>
      </c>
      <c r="I42" s="4">
        <v>0.0</v>
      </c>
      <c r="J42" s="4">
        <v>0.14</v>
      </c>
      <c r="K42" s="4">
        <v>1.0</v>
      </c>
      <c r="L42" s="4">
        <v>0.0</v>
      </c>
      <c r="M42" s="4">
        <v>0.0</v>
      </c>
      <c r="N42" s="4" t="s">
        <v>47</v>
      </c>
      <c r="O42" s="4" t="s">
        <v>48</v>
      </c>
      <c r="P42" s="4" t="s">
        <v>49</v>
      </c>
      <c r="Q42" s="4" t="s">
        <v>63</v>
      </c>
      <c r="R42" s="4" t="s">
        <v>64</v>
      </c>
      <c r="S42" s="5">
        <v>46161.0</v>
      </c>
    </row>
    <row r="43" ht="14.25" customHeight="1">
      <c r="A43" s="4" t="s">
        <v>65</v>
      </c>
      <c r="B43" s="4" t="s">
        <v>46</v>
      </c>
      <c r="C43" s="4">
        <v>925.2</v>
      </c>
      <c r="D43" s="4" t="s">
        <v>2</v>
      </c>
      <c r="E43" s="4">
        <v>5.0</v>
      </c>
      <c r="F43" s="4">
        <v>13.88</v>
      </c>
      <c r="G43" s="4">
        <v>2.52</v>
      </c>
      <c r="H43" s="4">
        <v>4.63</v>
      </c>
      <c r="I43" s="4">
        <v>0.0</v>
      </c>
      <c r="J43" s="4">
        <v>0.14</v>
      </c>
      <c r="K43" s="4">
        <v>0.69</v>
      </c>
      <c r="L43" s="4">
        <v>0.0</v>
      </c>
      <c r="M43" s="4">
        <v>0.0</v>
      </c>
      <c r="N43" s="4" t="s">
        <v>47</v>
      </c>
      <c r="O43" s="4" t="s">
        <v>48</v>
      </c>
      <c r="P43" s="4" t="s">
        <v>49</v>
      </c>
      <c r="Q43" s="4" t="s">
        <v>66</v>
      </c>
      <c r="R43" s="4" t="s">
        <v>67</v>
      </c>
      <c r="S43" s="5">
        <v>46160.0</v>
      </c>
    </row>
    <row r="44" ht="14.25" customHeight="1">
      <c r="A44" s="4" t="s">
        <v>68</v>
      </c>
      <c r="B44" s="4" t="s">
        <v>46</v>
      </c>
      <c r="C44" s="4">
        <v>467.4</v>
      </c>
      <c r="D44" s="4" t="s">
        <v>2</v>
      </c>
      <c r="E44" s="4">
        <v>20.0</v>
      </c>
      <c r="F44" s="4">
        <v>28.04</v>
      </c>
      <c r="G44" s="4">
        <v>5.1</v>
      </c>
      <c r="H44" s="4">
        <v>9.35</v>
      </c>
      <c r="I44" s="4">
        <v>0.01</v>
      </c>
      <c r="J44" s="4">
        <v>0.29</v>
      </c>
      <c r="K44" s="4">
        <v>1.4</v>
      </c>
      <c r="L44" s="4">
        <v>0.0</v>
      </c>
      <c r="M44" s="4">
        <v>0.0</v>
      </c>
      <c r="N44" s="4" t="s">
        <v>47</v>
      </c>
      <c r="O44" s="4" t="s">
        <v>48</v>
      </c>
      <c r="P44" s="4" t="s">
        <v>49</v>
      </c>
      <c r="Q44" s="4" t="s">
        <v>69</v>
      </c>
      <c r="R44" s="4" t="s">
        <v>70</v>
      </c>
      <c r="S44" s="5">
        <v>46160.0</v>
      </c>
    </row>
    <row r="45" ht="14.25" customHeight="1">
      <c r="A45" s="4" t="s">
        <v>71</v>
      </c>
      <c r="B45" s="4" t="s">
        <v>46</v>
      </c>
      <c r="C45" s="4">
        <v>1094.3</v>
      </c>
      <c r="D45" s="4" t="s">
        <v>2</v>
      </c>
      <c r="E45" s="4">
        <v>6.0</v>
      </c>
      <c r="F45" s="4">
        <v>19.7</v>
      </c>
      <c r="G45" s="4">
        <v>3.58</v>
      </c>
      <c r="H45" s="4">
        <v>6.57</v>
      </c>
      <c r="I45" s="4">
        <v>0.01</v>
      </c>
      <c r="J45" s="4">
        <v>0.2</v>
      </c>
      <c r="K45" s="4">
        <v>0.98</v>
      </c>
      <c r="L45" s="4">
        <v>0.0</v>
      </c>
      <c r="M45" s="4">
        <v>0.0</v>
      </c>
      <c r="N45" s="4" t="s">
        <v>47</v>
      </c>
      <c r="O45" s="4" t="s">
        <v>48</v>
      </c>
      <c r="P45" s="4" t="s">
        <v>49</v>
      </c>
      <c r="Q45" s="4" t="s">
        <v>72</v>
      </c>
      <c r="R45" s="4" t="s">
        <v>73</v>
      </c>
      <c r="S45" s="5">
        <v>46160.0</v>
      </c>
    </row>
    <row r="46" ht="14.25" customHeight="1">
      <c r="A46" s="4" t="s">
        <v>74</v>
      </c>
      <c r="B46" s="4" t="s">
        <v>46</v>
      </c>
      <c r="C46" s="4">
        <v>1499.4</v>
      </c>
      <c r="D46" s="4" t="s">
        <v>2</v>
      </c>
      <c r="E46" s="4">
        <v>4.0</v>
      </c>
      <c r="F46" s="4">
        <v>17.99</v>
      </c>
      <c r="G46" s="4">
        <v>3.27</v>
      </c>
      <c r="H46" s="4">
        <v>6.0</v>
      </c>
      <c r="I46" s="4">
        <v>0.01</v>
      </c>
      <c r="J46" s="4">
        <v>0.18</v>
      </c>
      <c r="K46" s="4">
        <v>0.9</v>
      </c>
      <c r="L46" s="4">
        <v>0.0</v>
      </c>
      <c r="M46" s="4">
        <v>0.0</v>
      </c>
      <c r="N46" s="4" t="s">
        <v>47</v>
      </c>
      <c r="O46" s="4" t="s">
        <v>48</v>
      </c>
      <c r="P46" s="4" t="s">
        <v>49</v>
      </c>
      <c r="Q46" s="4" t="s">
        <v>75</v>
      </c>
      <c r="R46" s="4" t="s">
        <v>76</v>
      </c>
      <c r="S46" s="5">
        <v>46160.0</v>
      </c>
    </row>
    <row r="47" ht="14.25" customHeight="1">
      <c r="A47" s="4" t="s">
        <v>77</v>
      </c>
      <c r="B47" s="4" t="s">
        <v>46</v>
      </c>
      <c r="C47" s="4">
        <v>123.42</v>
      </c>
      <c r="D47" s="4" t="s">
        <v>2</v>
      </c>
      <c r="E47" s="4">
        <v>39.0</v>
      </c>
      <c r="F47" s="4">
        <v>14.44</v>
      </c>
      <c r="G47" s="4">
        <v>2.63</v>
      </c>
      <c r="H47" s="4">
        <v>4.81</v>
      </c>
      <c r="I47" s="4">
        <v>0.0</v>
      </c>
      <c r="J47" s="4">
        <v>0.15</v>
      </c>
      <c r="K47" s="4">
        <v>0.72</v>
      </c>
      <c r="L47" s="4">
        <v>0.0</v>
      </c>
      <c r="M47" s="4">
        <v>0.0</v>
      </c>
      <c r="N47" s="4" t="s">
        <v>47</v>
      </c>
      <c r="O47" s="4" t="s">
        <v>48</v>
      </c>
      <c r="P47" s="4" t="s">
        <v>49</v>
      </c>
      <c r="Q47" s="4" t="s">
        <v>78</v>
      </c>
      <c r="R47" s="4" t="s">
        <v>79</v>
      </c>
      <c r="S47" s="5">
        <v>46160.0</v>
      </c>
    </row>
    <row r="48" ht="14.25" customHeight="1">
      <c r="A48" s="4" t="s">
        <v>80</v>
      </c>
      <c r="B48" s="4" t="s">
        <v>46</v>
      </c>
      <c r="C48" s="4">
        <v>1450.6</v>
      </c>
      <c r="D48" s="4" t="s">
        <v>2</v>
      </c>
      <c r="E48" s="4">
        <v>10.0</v>
      </c>
      <c r="F48" s="4">
        <v>43.52</v>
      </c>
      <c r="G48" s="4">
        <v>7.92</v>
      </c>
      <c r="H48" s="4">
        <v>14.51</v>
      </c>
      <c r="I48" s="4">
        <v>0.01</v>
      </c>
      <c r="J48" s="4">
        <v>0.45</v>
      </c>
      <c r="K48" s="4">
        <v>2.18</v>
      </c>
      <c r="L48" s="4">
        <v>0.0</v>
      </c>
      <c r="M48" s="4">
        <v>0.0</v>
      </c>
      <c r="N48" s="4" t="s">
        <v>47</v>
      </c>
      <c r="O48" s="4" t="s">
        <v>48</v>
      </c>
      <c r="P48" s="4" t="s">
        <v>49</v>
      </c>
      <c r="Q48" s="4" t="s">
        <v>81</v>
      </c>
      <c r="R48" s="4" t="s">
        <v>82</v>
      </c>
      <c r="S48" s="5">
        <v>46160.0</v>
      </c>
    </row>
    <row r="49" ht="14.25" customHeight="1">
      <c r="A49" s="4" t="s">
        <v>83</v>
      </c>
      <c r="B49" s="4" t="s">
        <v>46</v>
      </c>
      <c r="C49" s="4">
        <v>214.9</v>
      </c>
      <c r="D49" s="4" t="s">
        <v>2</v>
      </c>
      <c r="E49" s="4">
        <v>25.0</v>
      </c>
      <c r="F49" s="4">
        <v>16.12</v>
      </c>
      <c r="G49" s="4">
        <v>2.93</v>
      </c>
      <c r="H49" s="4">
        <v>4.97</v>
      </c>
      <c r="I49" s="4">
        <v>0.01</v>
      </c>
      <c r="J49" s="4">
        <v>0.16</v>
      </c>
      <c r="K49" s="4">
        <v>0.6</v>
      </c>
      <c r="L49" s="4">
        <v>0.0</v>
      </c>
      <c r="M49" s="4">
        <v>0.0</v>
      </c>
      <c r="N49" s="4" t="s">
        <v>47</v>
      </c>
      <c r="O49" s="4" t="s">
        <v>48</v>
      </c>
      <c r="P49" s="4" t="s">
        <v>49</v>
      </c>
      <c r="Q49" s="4" t="s">
        <v>84</v>
      </c>
      <c r="R49" s="4" t="s">
        <v>85</v>
      </c>
      <c r="S49" s="5">
        <v>46160.0</v>
      </c>
    </row>
    <row r="50" ht="14.25" customHeight="1">
      <c r="A50" s="4" t="s">
        <v>86</v>
      </c>
      <c r="B50" s="4" t="s">
        <v>46</v>
      </c>
      <c r="C50" s="4">
        <v>502.6</v>
      </c>
      <c r="D50" s="4" t="s">
        <v>2</v>
      </c>
      <c r="E50" s="4">
        <v>20.0</v>
      </c>
      <c r="F50" s="4">
        <v>30.16</v>
      </c>
      <c r="G50" s="4">
        <v>5.49</v>
      </c>
      <c r="H50" s="4">
        <v>10.05</v>
      </c>
      <c r="I50" s="4">
        <v>0.01</v>
      </c>
      <c r="J50" s="4">
        <v>0.31</v>
      </c>
      <c r="K50" s="4">
        <v>1.51</v>
      </c>
      <c r="L50" s="4">
        <v>0.0</v>
      </c>
      <c r="M50" s="4">
        <v>0.0</v>
      </c>
      <c r="N50" s="4" t="s">
        <v>47</v>
      </c>
      <c r="O50" s="4" t="s">
        <v>48</v>
      </c>
      <c r="P50" s="4" t="s">
        <v>49</v>
      </c>
      <c r="Q50" s="4" t="s">
        <v>87</v>
      </c>
      <c r="R50" s="4" t="s">
        <v>88</v>
      </c>
      <c r="S50" s="5">
        <v>46160.0</v>
      </c>
    </row>
    <row r="51" ht="14.25" customHeight="1">
      <c r="A51" s="4" t="s">
        <v>77</v>
      </c>
      <c r="B51" s="4" t="s">
        <v>46</v>
      </c>
      <c r="C51" s="4">
        <v>123.4</v>
      </c>
      <c r="D51" s="4" t="s">
        <v>2</v>
      </c>
      <c r="E51" s="4">
        <v>1.0</v>
      </c>
      <c r="F51" s="4">
        <v>0.37</v>
      </c>
      <c r="G51" s="4">
        <v>0.07</v>
      </c>
      <c r="H51" s="4">
        <v>0.12</v>
      </c>
      <c r="I51" s="4">
        <v>0.0</v>
      </c>
      <c r="J51" s="4">
        <v>0.0</v>
      </c>
      <c r="K51" s="4">
        <v>0.02</v>
      </c>
      <c r="L51" s="4">
        <v>0.0</v>
      </c>
      <c r="M51" s="4">
        <v>0.0</v>
      </c>
      <c r="N51" s="4" t="s">
        <v>47</v>
      </c>
      <c r="O51" s="4" t="s">
        <v>48</v>
      </c>
      <c r="P51" s="4" t="s">
        <v>49</v>
      </c>
      <c r="Q51" s="4" t="s">
        <v>78</v>
      </c>
      <c r="R51" s="4" t="s">
        <v>89</v>
      </c>
      <c r="S51" s="5">
        <v>46160.0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>
      <c r="E59" s="2">
        <f t="shared" ref="E59:E74" si="1">C36*E36</f>
        <v>17434</v>
      </c>
    </row>
    <row r="60" ht="14.25" customHeight="1">
      <c r="E60" s="2">
        <f t="shared" si="1"/>
        <v>916.35</v>
      </c>
    </row>
    <row r="61" ht="14.25" customHeight="1">
      <c r="E61" s="2">
        <f t="shared" si="1"/>
        <v>758</v>
      </c>
    </row>
    <row r="62" ht="14.25" customHeight="1">
      <c r="E62" s="2">
        <f t="shared" si="1"/>
        <v>21968.4</v>
      </c>
    </row>
    <row r="63" ht="14.25" customHeight="1">
      <c r="E63" s="2">
        <f t="shared" si="1"/>
        <v>2432.8</v>
      </c>
    </row>
    <row r="64" ht="14.25" customHeight="1">
      <c r="E64" s="2">
        <f t="shared" si="1"/>
        <v>2274</v>
      </c>
    </row>
    <row r="65" ht="14.25" customHeight="1">
      <c r="E65" s="2">
        <f t="shared" si="1"/>
        <v>4564.75</v>
      </c>
    </row>
    <row r="66" ht="14.25" customHeight="1">
      <c r="E66" s="2">
        <f t="shared" si="1"/>
        <v>4626</v>
      </c>
    </row>
    <row r="67" ht="14.25" customHeight="1">
      <c r="E67" s="2">
        <f t="shared" si="1"/>
        <v>9348</v>
      </c>
    </row>
    <row r="68" ht="14.25" customHeight="1">
      <c r="E68" s="2">
        <f t="shared" si="1"/>
        <v>6565.8</v>
      </c>
    </row>
    <row r="69" ht="14.25" customHeight="1">
      <c r="E69" s="2">
        <f t="shared" si="1"/>
        <v>5997.6</v>
      </c>
    </row>
    <row r="70" ht="14.25" customHeight="1">
      <c r="E70" s="2">
        <f t="shared" si="1"/>
        <v>4813.38</v>
      </c>
    </row>
    <row r="71" ht="14.25" customHeight="1">
      <c r="E71" s="2">
        <f t="shared" si="1"/>
        <v>14506</v>
      </c>
    </row>
    <row r="72" ht="14.25" customHeight="1">
      <c r="E72" s="2">
        <f t="shared" si="1"/>
        <v>5372.5</v>
      </c>
    </row>
    <row r="73" ht="14.25" customHeight="1">
      <c r="E73" s="2">
        <f t="shared" si="1"/>
        <v>10052</v>
      </c>
    </row>
    <row r="74" ht="14.25" customHeight="1">
      <c r="E74" s="2">
        <f t="shared" si="1"/>
        <v>123.4</v>
      </c>
    </row>
    <row r="75" ht="14.25" customHeight="1">
      <c r="E75" s="2">
        <f>SUM(E59:E74)</f>
        <v>111752.98</v>
      </c>
      <c r="F75" s="6">
        <v>150000.0</v>
      </c>
      <c r="G75" s="2">
        <f>F75-E75</f>
        <v>38247.02</v>
      </c>
    </row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35:$S$5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4">
      <c r="G4" s="7"/>
      <c r="I4" s="7"/>
      <c r="J4" s="7"/>
      <c r="K4" s="7"/>
    </row>
    <row r="5">
      <c r="G5" s="7"/>
      <c r="H5" s="7"/>
      <c r="I5" s="7"/>
      <c r="J5" s="7"/>
      <c r="K5" s="7"/>
    </row>
    <row r="6">
      <c r="B6" s="8" t="s">
        <v>90</v>
      </c>
      <c r="G6" s="7"/>
      <c r="H6" s="9" t="s">
        <v>91</v>
      </c>
      <c r="K6" s="7"/>
    </row>
    <row r="7">
      <c r="B7" s="10" t="s">
        <v>92</v>
      </c>
      <c r="C7" s="10" t="s">
        <v>93</v>
      </c>
      <c r="D7" s="11" t="s">
        <v>94</v>
      </c>
      <c r="E7" s="11" t="s">
        <v>95</v>
      </c>
      <c r="F7" s="11" t="s">
        <v>96</v>
      </c>
      <c r="G7" s="7"/>
      <c r="H7" s="7"/>
      <c r="I7" s="7"/>
      <c r="J7" s="7"/>
      <c r="K7" s="7"/>
    </row>
    <row r="8">
      <c r="B8" s="12" t="s">
        <v>46</v>
      </c>
      <c r="C8" s="13"/>
      <c r="D8" s="13"/>
      <c r="E8" s="13"/>
      <c r="F8" s="14"/>
      <c r="G8" s="7"/>
      <c r="H8" s="7"/>
      <c r="I8" s="7"/>
      <c r="J8" s="7"/>
      <c r="K8" s="7"/>
    </row>
    <row r="9">
      <c r="B9" s="15" t="s">
        <v>97</v>
      </c>
      <c r="C9" s="16" t="s">
        <v>98</v>
      </c>
      <c r="D9" s="17">
        <v>27.0</v>
      </c>
      <c r="E9" s="17">
        <v>766.0</v>
      </c>
      <c r="F9" s="18">
        <v>20689.0</v>
      </c>
      <c r="G9" s="7"/>
      <c r="H9" s="19">
        <v>27.0</v>
      </c>
      <c r="I9" s="19">
        <v>758.0</v>
      </c>
      <c r="J9" s="7">
        <f>I9*H9</f>
        <v>20466</v>
      </c>
      <c r="K9" s="7"/>
    </row>
    <row r="10">
      <c r="B10" s="15" t="s">
        <v>99</v>
      </c>
      <c r="C10" s="16" t="s">
        <v>100</v>
      </c>
      <c r="D10" s="17">
        <v>19.0</v>
      </c>
      <c r="E10" s="17">
        <v>833.0</v>
      </c>
      <c r="F10" s="18">
        <v>15819.0</v>
      </c>
      <c r="G10" s="7"/>
      <c r="H10" s="19">
        <v>0.0</v>
      </c>
      <c r="I10" s="19">
        <v>0.0</v>
      </c>
      <c r="J10" s="7"/>
      <c r="K10" s="7"/>
    </row>
    <row r="11">
      <c r="B11" s="15" t="s">
        <v>101</v>
      </c>
      <c r="C11" s="16" t="s">
        <v>102</v>
      </c>
      <c r="D11" s="17">
        <v>10.0</v>
      </c>
      <c r="E11" s="18">
        <v>1333.0</v>
      </c>
      <c r="F11" s="18">
        <v>13334.0</v>
      </c>
      <c r="G11" s="7"/>
      <c r="H11" s="19">
        <v>0.0</v>
      </c>
      <c r="I11" s="19">
        <v>0.0</v>
      </c>
      <c r="J11" s="7"/>
      <c r="K11" s="19" t="s">
        <v>103</v>
      </c>
    </row>
    <row r="12">
      <c r="B12" s="20" t="s">
        <v>104</v>
      </c>
      <c r="C12" s="13"/>
      <c r="D12" s="13"/>
      <c r="E12" s="14"/>
      <c r="F12" s="21">
        <v>49842.0</v>
      </c>
      <c r="G12" s="7"/>
      <c r="H12" s="7"/>
      <c r="I12" s="7"/>
      <c r="J12" s="7">
        <f>sum(J9:J11)</f>
        <v>20466</v>
      </c>
      <c r="K12" s="22">
        <f>F12-J12</f>
        <v>29376</v>
      </c>
    </row>
    <row r="13">
      <c r="B13" s="23"/>
      <c r="G13" s="7"/>
      <c r="H13" s="7"/>
      <c r="I13" s="7"/>
      <c r="J13" s="7"/>
      <c r="K13" s="7"/>
    </row>
    <row r="14">
      <c r="G14" s="7"/>
      <c r="H14" s="7"/>
      <c r="I14" s="7"/>
      <c r="J14" s="7"/>
      <c r="K14" s="7"/>
    </row>
    <row r="15">
      <c r="G15" s="7"/>
      <c r="H15" s="7"/>
      <c r="I15" s="7"/>
      <c r="J15" s="7"/>
      <c r="K15" s="7"/>
    </row>
    <row r="16">
      <c r="B16" s="8" t="s">
        <v>90</v>
      </c>
      <c r="G16" s="7"/>
      <c r="H16" s="7"/>
      <c r="I16" s="7"/>
      <c r="J16" s="7"/>
      <c r="K16" s="7"/>
    </row>
    <row r="17">
      <c r="B17" s="10" t="s">
        <v>92</v>
      </c>
      <c r="C17" s="10" t="s">
        <v>93</v>
      </c>
      <c r="D17" s="11" t="s">
        <v>94</v>
      </c>
      <c r="E17" s="11" t="s">
        <v>95</v>
      </c>
      <c r="F17" s="11" t="s">
        <v>96</v>
      </c>
      <c r="G17" s="7"/>
      <c r="H17" s="7"/>
      <c r="I17" s="7"/>
      <c r="J17" s="7"/>
      <c r="K17" s="7"/>
    </row>
    <row r="18">
      <c r="B18" s="12" t="s">
        <v>46</v>
      </c>
      <c r="C18" s="13"/>
      <c r="D18" s="13"/>
      <c r="E18" s="13"/>
      <c r="F18" s="14"/>
      <c r="G18" s="7"/>
      <c r="H18" s="7"/>
      <c r="I18" s="7"/>
      <c r="J18" s="7"/>
      <c r="K18" s="7"/>
    </row>
    <row r="19">
      <c r="B19" s="15" t="s">
        <v>105</v>
      </c>
      <c r="C19" s="16" t="s">
        <v>106</v>
      </c>
      <c r="D19" s="17">
        <v>25.0</v>
      </c>
      <c r="E19" s="17">
        <v>919.0</v>
      </c>
      <c r="F19" s="18">
        <v>22965.0</v>
      </c>
      <c r="G19" s="7">
        <f t="shared" ref="G19:G30" si="1">D19-H19</f>
        <v>0</v>
      </c>
      <c r="H19" s="19">
        <v>25.0</v>
      </c>
      <c r="I19" s="19">
        <v>916.53</v>
      </c>
      <c r="J19" s="7">
        <f t="shared" ref="J19:J29" si="2">I19*H19</f>
        <v>22913.25</v>
      </c>
      <c r="K19" s="7"/>
    </row>
    <row r="20">
      <c r="B20" s="15" t="s">
        <v>107</v>
      </c>
      <c r="C20" s="16" t="s">
        <v>108</v>
      </c>
      <c r="D20" s="17">
        <v>6.0</v>
      </c>
      <c r="E20" s="18">
        <v>1141.0</v>
      </c>
      <c r="F20" s="18">
        <v>6845.0</v>
      </c>
      <c r="G20" s="7">
        <f t="shared" si="1"/>
        <v>0</v>
      </c>
      <c r="H20" s="19">
        <v>6.0</v>
      </c>
      <c r="I20" s="19">
        <v>1094.3</v>
      </c>
      <c r="J20" s="7">
        <f t="shared" si="2"/>
        <v>6565.8</v>
      </c>
      <c r="K20" s="7"/>
    </row>
    <row r="21">
      <c r="B21" s="24" t="s">
        <v>58</v>
      </c>
      <c r="C21" s="25" t="s">
        <v>109</v>
      </c>
      <c r="D21" s="26">
        <v>35.0</v>
      </c>
      <c r="E21" s="26">
        <v>245.0</v>
      </c>
      <c r="F21" s="27">
        <v>8562.0</v>
      </c>
      <c r="G21" s="28">
        <f t="shared" si="1"/>
        <v>25</v>
      </c>
      <c r="H21" s="29">
        <v>10.0</v>
      </c>
      <c r="I21" s="29">
        <v>243.28</v>
      </c>
      <c r="J21" s="28">
        <f t="shared" si="2"/>
        <v>2432.8</v>
      </c>
      <c r="K21" s="22">
        <f>F21-J21</f>
        <v>6129.2</v>
      </c>
    </row>
    <row r="22">
      <c r="B22" s="15" t="s">
        <v>110</v>
      </c>
      <c r="C22" s="16" t="s">
        <v>111</v>
      </c>
      <c r="D22" s="17">
        <v>10.0</v>
      </c>
      <c r="E22" s="18">
        <v>1482.0</v>
      </c>
      <c r="F22" s="18">
        <v>14820.0</v>
      </c>
      <c r="G22" s="7">
        <f t="shared" si="1"/>
        <v>0</v>
      </c>
      <c r="H22" s="19">
        <v>10.0</v>
      </c>
      <c r="I22" s="19">
        <v>1450.6</v>
      </c>
      <c r="J22" s="7">
        <f t="shared" si="2"/>
        <v>14506</v>
      </c>
      <c r="K22" s="7"/>
    </row>
    <row r="23">
      <c r="B23" s="15" t="s">
        <v>112</v>
      </c>
      <c r="C23" s="16" t="s">
        <v>113</v>
      </c>
      <c r="D23" s="17">
        <v>4.0</v>
      </c>
      <c r="E23" s="18">
        <v>1522.0</v>
      </c>
      <c r="F23" s="18">
        <v>6089.0</v>
      </c>
      <c r="G23" s="7">
        <f t="shared" si="1"/>
        <v>0</v>
      </c>
      <c r="H23" s="19">
        <v>4.0</v>
      </c>
      <c r="I23" s="19">
        <v>1499.4</v>
      </c>
      <c r="J23" s="7">
        <f t="shared" si="2"/>
        <v>5997.6</v>
      </c>
      <c r="K23" s="7"/>
    </row>
    <row r="24">
      <c r="B24" s="15" t="s">
        <v>114</v>
      </c>
      <c r="C24" s="16" t="s">
        <v>115</v>
      </c>
      <c r="D24" s="17">
        <v>40.0</v>
      </c>
      <c r="E24" s="17">
        <v>127.0</v>
      </c>
      <c r="F24" s="18">
        <v>5062.0</v>
      </c>
      <c r="G24" s="7">
        <f t="shared" si="1"/>
        <v>0</v>
      </c>
      <c r="H24" s="19">
        <v>40.0</v>
      </c>
      <c r="I24" s="19">
        <v>123.42</v>
      </c>
      <c r="J24" s="7">
        <f t="shared" si="2"/>
        <v>4936.8</v>
      </c>
      <c r="K24" s="7"/>
    </row>
    <row r="25">
      <c r="B25" s="15" t="s">
        <v>116</v>
      </c>
      <c r="C25" s="16" t="s">
        <v>117</v>
      </c>
      <c r="D25" s="17">
        <v>5.0</v>
      </c>
      <c r="E25" s="17">
        <v>953.0</v>
      </c>
      <c r="F25" s="18">
        <v>4764.0</v>
      </c>
      <c r="G25" s="7">
        <f t="shared" si="1"/>
        <v>0</v>
      </c>
      <c r="H25" s="19">
        <v>5.0</v>
      </c>
      <c r="I25" s="19">
        <v>912.95</v>
      </c>
      <c r="J25" s="7">
        <f t="shared" si="2"/>
        <v>4564.75</v>
      </c>
      <c r="K25" s="7"/>
    </row>
    <row r="26">
      <c r="B26" s="15" t="s">
        <v>118</v>
      </c>
      <c r="C26" s="16" t="s">
        <v>119</v>
      </c>
      <c r="D26" s="17">
        <v>20.0</v>
      </c>
      <c r="E26" s="17">
        <v>525.0</v>
      </c>
      <c r="F26" s="18">
        <v>10492.0</v>
      </c>
      <c r="G26" s="7">
        <f t="shared" si="1"/>
        <v>0</v>
      </c>
      <c r="H26" s="19">
        <v>20.0</v>
      </c>
      <c r="I26" s="19">
        <v>502.6</v>
      </c>
      <c r="J26" s="7">
        <f t="shared" si="2"/>
        <v>10052</v>
      </c>
      <c r="K26" s="7"/>
    </row>
    <row r="27">
      <c r="B27" s="15" t="s">
        <v>120</v>
      </c>
      <c r="C27" s="16" t="s">
        <v>121</v>
      </c>
      <c r="D27" s="17">
        <v>20.0</v>
      </c>
      <c r="E27" s="17">
        <v>484.0</v>
      </c>
      <c r="F27" s="18">
        <v>9689.0</v>
      </c>
      <c r="G27" s="7">
        <f t="shared" si="1"/>
        <v>0</v>
      </c>
      <c r="H27" s="19">
        <v>20.0</v>
      </c>
      <c r="I27" s="19">
        <v>467.4</v>
      </c>
      <c r="J27" s="7">
        <f t="shared" si="2"/>
        <v>9348</v>
      </c>
      <c r="K27" s="7"/>
    </row>
    <row r="28">
      <c r="B28" s="15" t="s">
        <v>122</v>
      </c>
      <c r="C28" s="16" t="s">
        <v>123</v>
      </c>
      <c r="D28" s="17">
        <v>5.0</v>
      </c>
      <c r="E28" s="17">
        <v>943.0</v>
      </c>
      <c r="F28" s="18">
        <v>4714.0</v>
      </c>
      <c r="G28" s="7">
        <f t="shared" si="1"/>
        <v>0</v>
      </c>
      <c r="H28" s="19">
        <v>5.0</v>
      </c>
      <c r="I28" s="19">
        <v>925.2</v>
      </c>
      <c r="J28" s="7">
        <f t="shared" si="2"/>
        <v>4626</v>
      </c>
      <c r="K28" s="7"/>
    </row>
    <row r="29">
      <c r="B29" s="15" t="s">
        <v>124</v>
      </c>
      <c r="C29" s="16" t="s">
        <v>125</v>
      </c>
      <c r="D29" s="17">
        <v>25.0</v>
      </c>
      <c r="E29" s="17">
        <v>218.0</v>
      </c>
      <c r="F29" s="18">
        <v>5452.0</v>
      </c>
      <c r="G29" s="7">
        <f t="shared" si="1"/>
        <v>0</v>
      </c>
      <c r="H29" s="19">
        <v>25.0</v>
      </c>
      <c r="I29" s="19">
        <v>214.9</v>
      </c>
      <c r="J29" s="7">
        <f t="shared" si="2"/>
        <v>5372.5</v>
      </c>
      <c r="K29" s="19" t="s">
        <v>103</v>
      </c>
    </row>
    <row r="30">
      <c r="B30" s="20" t="s">
        <v>104</v>
      </c>
      <c r="C30" s="13"/>
      <c r="D30" s="13"/>
      <c r="E30" s="14"/>
      <c r="F30" s="21">
        <v>99456.0</v>
      </c>
      <c r="G30" s="7">
        <f t="shared" si="1"/>
        <v>0</v>
      </c>
      <c r="H30" s="7"/>
      <c r="I30" s="7"/>
      <c r="J30" s="7">
        <f>SUM(J17:J29)</f>
        <v>91315.5</v>
      </c>
      <c r="K30" s="22">
        <f>F30-J30</f>
        <v>8140.5</v>
      </c>
    </row>
    <row r="31">
      <c r="B31" s="23"/>
    </row>
  </sheetData>
  <mergeCells count="5">
    <mergeCell ref="H6:J6"/>
    <mergeCell ref="B8:F8"/>
    <mergeCell ref="B12:E12"/>
    <mergeCell ref="B18:F18"/>
    <mergeCell ref="B30:E3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4">
      <c r="G4" s="7"/>
      <c r="J4" s="7"/>
      <c r="K4" s="7"/>
      <c r="L4" s="7"/>
    </row>
    <row r="5">
      <c r="G5" s="7"/>
      <c r="H5" s="7"/>
      <c r="I5" s="7"/>
      <c r="J5" s="7"/>
      <c r="K5" s="7"/>
      <c r="L5" s="7"/>
    </row>
    <row r="6">
      <c r="B6" s="8" t="s">
        <v>90</v>
      </c>
      <c r="G6" s="7"/>
      <c r="H6" s="9"/>
      <c r="I6" s="9" t="s">
        <v>91</v>
      </c>
      <c r="L6" s="7"/>
    </row>
    <row r="7">
      <c r="B7" s="10" t="s">
        <v>92</v>
      </c>
      <c r="C7" s="10" t="s">
        <v>93</v>
      </c>
      <c r="D7" s="11" t="s">
        <v>94</v>
      </c>
      <c r="E7" s="11" t="s">
        <v>95</v>
      </c>
      <c r="F7" s="11" t="s">
        <v>96</v>
      </c>
      <c r="G7" s="7"/>
      <c r="H7" s="7"/>
      <c r="I7" s="7"/>
      <c r="J7" s="7"/>
      <c r="K7" s="7"/>
      <c r="L7" s="7"/>
    </row>
    <row r="8">
      <c r="B8" s="12" t="s">
        <v>46</v>
      </c>
      <c r="C8" s="13"/>
      <c r="D8" s="13"/>
      <c r="E8" s="13"/>
      <c r="F8" s="14"/>
      <c r="G8" s="7"/>
      <c r="H8" s="7"/>
      <c r="I8" s="7"/>
      <c r="J8" s="7"/>
      <c r="K8" s="7"/>
      <c r="L8" s="7"/>
    </row>
    <row r="9">
      <c r="A9" s="2" t="str">
        <f>"NSE:"&amp;C9</f>
        <v>NSE:HDFCBANK</v>
      </c>
      <c r="B9" s="15" t="s">
        <v>97</v>
      </c>
      <c r="C9" s="16" t="s">
        <v>98</v>
      </c>
      <c r="D9" s="17">
        <v>27.0</v>
      </c>
      <c r="E9" s="17">
        <v>766.0</v>
      </c>
      <c r="F9" s="18">
        <v>20689.0</v>
      </c>
      <c r="G9" s="7"/>
      <c r="H9" s="7" t="s">
        <v>126</v>
      </c>
      <c r="I9" s="19">
        <v>27.0</v>
      </c>
      <c r="J9" s="19">
        <v>758.0</v>
      </c>
      <c r="K9" s="7">
        <f>J9*I9</f>
        <v>20466</v>
      </c>
      <c r="L9" s="7"/>
    </row>
    <row r="10">
      <c r="B10" s="15" t="s">
        <v>99</v>
      </c>
      <c r="C10" s="16" t="s">
        <v>100</v>
      </c>
      <c r="D10" s="17">
        <v>19.0</v>
      </c>
      <c r="E10" s="17">
        <v>833.0</v>
      </c>
      <c r="F10" s="18">
        <v>15819.0</v>
      </c>
      <c r="G10" s="7"/>
      <c r="H10" s="19"/>
      <c r="I10" s="19">
        <v>0.0</v>
      </c>
      <c r="J10" s="19">
        <v>0.0</v>
      </c>
      <c r="K10" s="7"/>
      <c r="L10" s="7"/>
    </row>
    <row r="11">
      <c r="B11" s="15" t="s">
        <v>101</v>
      </c>
      <c r="C11" s="16" t="s">
        <v>102</v>
      </c>
      <c r="D11" s="17">
        <v>10.0</v>
      </c>
      <c r="E11" s="18">
        <v>1333.0</v>
      </c>
      <c r="F11" s="18">
        <v>13334.0</v>
      </c>
      <c r="G11" s="7"/>
      <c r="H11" s="19"/>
      <c r="I11" s="19">
        <v>0.0</v>
      </c>
      <c r="J11" s="19">
        <v>0.0</v>
      </c>
      <c r="K11" s="7"/>
      <c r="L11" s="19" t="s">
        <v>103</v>
      </c>
    </row>
    <row r="12">
      <c r="B12" s="20" t="s">
        <v>104</v>
      </c>
      <c r="C12" s="13"/>
      <c r="D12" s="13"/>
      <c r="E12" s="14"/>
      <c r="F12" s="21">
        <v>49842.0</v>
      </c>
      <c r="G12" s="7"/>
      <c r="H12" s="7"/>
      <c r="I12" s="7"/>
      <c r="J12" s="7"/>
      <c r="K12" s="7">
        <f>sum(K9:K11)</f>
        <v>20466</v>
      </c>
      <c r="L12" s="22">
        <f>F12-K12</f>
        <v>29376</v>
      </c>
    </row>
    <row r="13">
      <c r="B13" s="23"/>
      <c r="G13" s="7"/>
      <c r="H13" s="7"/>
      <c r="I13" s="7"/>
      <c r="J13" s="7"/>
      <c r="K13" s="7"/>
      <c r="L13" s="7"/>
    </row>
    <row r="14">
      <c r="G14" s="7"/>
      <c r="H14" s="7"/>
      <c r="I14" s="7"/>
      <c r="J14" s="7"/>
      <c r="K14" s="7"/>
      <c r="L14" s="7"/>
    </row>
    <row r="15">
      <c r="G15" s="7"/>
      <c r="H15" s="7"/>
      <c r="I15" s="7"/>
      <c r="J15" s="7"/>
      <c r="K15" s="7"/>
      <c r="L15" s="7"/>
    </row>
    <row r="16">
      <c r="B16" s="8" t="s">
        <v>90</v>
      </c>
      <c r="G16" s="7"/>
      <c r="H16" s="7"/>
      <c r="I16" s="7"/>
      <c r="J16" s="7"/>
      <c r="K16" s="7"/>
      <c r="L16" s="7"/>
    </row>
    <row r="17">
      <c r="B17" s="10" t="s">
        <v>92</v>
      </c>
      <c r="C17" s="10" t="s">
        <v>93</v>
      </c>
      <c r="D17" s="11" t="s">
        <v>94</v>
      </c>
      <c r="E17" s="11" t="s">
        <v>95</v>
      </c>
      <c r="F17" s="11" t="s">
        <v>96</v>
      </c>
      <c r="G17" s="7"/>
      <c r="H17" s="7"/>
      <c r="I17" s="7"/>
      <c r="J17" s="7"/>
      <c r="K17" s="7"/>
      <c r="L17" s="7"/>
    </row>
    <row r="18">
      <c r="B18" s="12" t="s">
        <v>46</v>
      </c>
      <c r="C18" s="13"/>
      <c r="D18" s="13"/>
      <c r="E18" s="13"/>
      <c r="F18" s="14"/>
      <c r="G18" s="7"/>
      <c r="H18" s="7"/>
      <c r="I18" s="7"/>
      <c r="J18" s="7"/>
      <c r="K18" s="7"/>
      <c r="L18" s="7"/>
    </row>
    <row r="19">
      <c r="A19" s="2" t="str">
        <f t="shared" ref="A19:A29" si="1">"NSE:"&amp;C19</f>
        <v>NSE:BAJFINANCE</v>
      </c>
      <c r="B19" s="15" t="s">
        <v>105</v>
      </c>
      <c r="C19" s="16" t="s">
        <v>106</v>
      </c>
      <c r="D19" s="17">
        <v>25.0</v>
      </c>
      <c r="E19" s="17">
        <v>919.0</v>
      </c>
      <c r="F19" s="18">
        <v>22965.0</v>
      </c>
      <c r="G19" s="7">
        <f t="shared" ref="G19:G30" si="2">D19-I19</f>
        <v>0</v>
      </c>
      <c r="H19" s="7" t="s">
        <v>127</v>
      </c>
      <c r="I19" s="19">
        <v>25.0</v>
      </c>
      <c r="J19" s="19">
        <v>916.53</v>
      </c>
      <c r="K19" s="7">
        <f t="shared" ref="K19:K29" si="3">J19*I19</f>
        <v>22913.25</v>
      </c>
      <c r="L19" s="7"/>
    </row>
    <row r="20">
      <c r="A20" s="2" t="str">
        <f t="shared" si="1"/>
        <v>NSE:PAYTM</v>
      </c>
      <c r="B20" s="15" t="s">
        <v>107</v>
      </c>
      <c r="C20" s="16" t="s">
        <v>108</v>
      </c>
      <c r="D20" s="17">
        <v>6.0</v>
      </c>
      <c r="E20" s="18">
        <v>1141.0</v>
      </c>
      <c r="F20" s="18">
        <v>6845.0</v>
      </c>
      <c r="G20" s="7">
        <f t="shared" si="2"/>
        <v>0</v>
      </c>
      <c r="H20" s="7" t="s">
        <v>128</v>
      </c>
      <c r="I20" s="19">
        <v>6.0</v>
      </c>
      <c r="J20" s="19">
        <v>1094.3</v>
      </c>
      <c r="K20" s="7">
        <f t="shared" si="3"/>
        <v>6565.8</v>
      </c>
      <c r="L20" s="7"/>
    </row>
    <row r="21">
      <c r="A21" s="2" t="str">
        <f t="shared" si="1"/>
        <v>NSE:ETERNAL</v>
      </c>
      <c r="B21" s="24" t="s">
        <v>58</v>
      </c>
      <c r="C21" s="25" t="s">
        <v>109</v>
      </c>
      <c r="D21" s="26">
        <v>35.0</v>
      </c>
      <c r="E21" s="26">
        <v>245.0</v>
      </c>
      <c r="F21" s="27">
        <v>8562.0</v>
      </c>
      <c r="G21" s="28">
        <f t="shared" si="2"/>
        <v>25</v>
      </c>
      <c r="H21" s="28" t="s">
        <v>129</v>
      </c>
      <c r="I21" s="29">
        <v>10.0</v>
      </c>
      <c r="J21" s="29">
        <v>243.28</v>
      </c>
      <c r="K21" s="28">
        <f t="shared" si="3"/>
        <v>2432.8</v>
      </c>
      <c r="L21" s="22">
        <f>F21-K21</f>
        <v>6129.2</v>
      </c>
    </row>
    <row r="22">
      <c r="A22" s="2" t="str">
        <f t="shared" si="1"/>
        <v>NSE:PIDILITIND</v>
      </c>
      <c r="B22" s="15" t="s">
        <v>110</v>
      </c>
      <c r="C22" s="16" t="s">
        <v>111</v>
      </c>
      <c r="D22" s="17">
        <v>10.0</v>
      </c>
      <c r="E22" s="18">
        <v>1482.0</v>
      </c>
      <c r="F22" s="18">
        <v>14820.0</v>
      </c>
      <c r="G22" s="7">
        <f t="shared" si="2"/>
        <v>0</v>
      </c>
      <c r="H22" s="7" t="s">
        <v>130</v>
      </c>
      <c r="I22" s="19">
        <v>10.0</v>
      </c>
      <c r="J22" s="19">
        <v>1450.6</v>
      </c>
      <c r="K22" s="7">
        <f t="shared" si="3"/>
        <v>14506</v>
      </c>
      <c r="L22" s="7"/>
    </row>
    <row r="23">
      <c r="A23" s="2" t="str">
        <f t="shared" si="1"/>
        <v>NSE:AUROPHARMA</v>
      </c>
      <c r="B23" s="15" t="s">
        <v>112</v>
      </c>
      <c r="C23" s="16" t="s">
        <v>113</v>
      </c>
      <c r="D23" s="17">
        <v>4.0</v>
      </c>
      <c r="E23" s="18">
        <v>1522.0</v>
      </c>
      <c r="F23" s="18">
        <v>6089.0</v>
      </c>
      <c r="G23" s="7">
        <f t="shared" si="2"/>
        <v>0</v>
      </c>
      <c r="H23" s="7" t="s">
        <v>131</v>
      </c>
      <c r="I23" s="19">
        <v>4.0</v>
      </c>
      <c r="J23" s="19">
        <v>1499.4</v>
      </c>
      <c r="K23" s="7">
        <f t="shared" si="3"/>
        <v>5997.6</v>
      </c>
      <c r="L23" s="7"/>
    </row>
    <row r="24">
      <c r="A24" s="2" t="str">
        <f t="shared" si="1"/>
        <v>NSE:IEX</v>
      </c>
      <c r="B24" s="15" t="s">
        <v>114</v>
      </c>
      <c r="C24" s="16" t="s">
        <v>115</v>
      </c>
      <c r="D24" s="17">
        <v>40.0</v>
      </c>
      <c r="E24" s="17">
        <v>127.0</v>
      </c>
      <c r="F24" s="18">
        <v>5062.0</v>
      </c>
      <c r="G24" s="7">
        <f t="shared" si="2"/>
        <v>0</v>
      </c>
      <c r="H24" s="7" t="s">
        <v>132</v>
      </c>
      <c r="I24" s="19">
        <v>40.0</v>
      </c>
      <c r="J24" s="19">
        <v>123.42</v>
      </c>
      <c r="K24" s="7">
        <f t="shared" si="3"/>
        <v>4936.8</v>
      </c>
      <c r="L24" s="7"/>
    </row>
    <row r="25">
      <c r="A25" s="2" t="str">
        <f t="shared" si="1"/>
        <v>NSE:ATHERENERG</v>
      </c>
      <c r="B25" s="15" t="s">
        <v>116</v>
      </c>
      <c r="C25" s="16" t="s">
        <v>117</v>
      </c>
      <c r="D25" s="17">
        <v>5.0</v>
      </c>
      <c r="E25" s="17">
        <v>953.0</v>
      </c>
      <c r="F25" s="18">
        <v>4764.0</v>
      </c>
      <c r="G25" s="7">
        <f t="shared" si="2"/>
        <v>0</v>
      </c>
      <c r="H25" s="7" t="s">
        <v>133</v>
      </c>
      <c r="I25" s="19">
        <v>5.0</v>
      </c>
      <c r="J25" s="19">
        <v>912.95</v>
      </c>
      <c r="K25" s="7">
        <f t="shared" si="3"/>
        <v>4564.75</v>
      </c>
      <c r="L25" s="7"/>
    </row>
    <row r="26">
      <c r="A26" s="2" t="str">
        <f t="shared" si="1"/>
        <v>NSE:CONCOR</v>
      </c>
      <c r="B26" s="15" t="s">
        <v>118</v>
      </c>
      <c r="C26" s="16" t="s">
        <v>119</v>
      </c>
      <c r="D26" s="17">
        <v>20.0</v>
      </c>
      <c r="E26" s="17">
        <v>525.0</v>
      </c>
      <c r="F26" s="18">
        <v>10492.0</v>
      </c>
      <c r="G26" s="7">
        <f t="shared" si="2"/>
        <v>0</v>
      </c>
      <c r="H26" s="7" t="s">
        <v>134</v>
      </c>
      <c r="I26" s="19">
        <v>20.0</v>
      </c>
      <c r="J26" s="19">
        <v>502.6</v>
      </c>
      <c r="K26" s="7">
        <f t="shared" si="3"/>
        <v>10052</v>
      </c>
      <c r="L26" s="7"/>
    </row>
    <row r="27">
      <c r="A27" s="2" t="str">
        <f t="shared" si="1"/>
        <v>NSE:BLUESTONE</v>
      </c>
      <c r="B27" s="15" t="s">
        <v>120</v>
      </c>
      <c r="C27" s="16" t="s">
        <v>121</v>
      </c>
      <c r="D27" s="17">
        <v>20.0</v>
      </c>
      <c r="E27" s="17">
        <v>484.0</v>
      </c>
      <c r="F27" s="18">
        <v>9689.0</v>
      </c>
      <c r="G27" s="7">
        <f t="shared" si="2"/>
        <v>0</v>
      </c>
      <c r="H27" s="7" t="s">
        <v>135</v>
      </c>
      <c r="I27" s="19">
        <v>20.0</v>
      </c>
      <c r="J27" s="19">
        <v>467.4</v>
      </c>
      <c r="K27" s="7">
        <f t="shared" si="3"/>
        <v>9348</v>
      </c>
      <c r="L27" s="7"/>
    </row>
    <row r="28">
      <c r="A28" s="2" t="str">
        <f t="shared" si="1"/>
        <v>NSE:NAUKRI</v>
      </c>
      <c r="B28" s="15" t="s">
        <v>122</v>
      </c>
      <c r="C28" s="16" t="s">
        <v>123</v>
      </c>
      <c r="D28" s="17">
        <v>5.0</v>
      </c>
      <c r="E28" s="17">
        <v>943.0</v>
      </c>
      <c r="F28" s="18">
        <v>4714.0</v>
      </c>
      <c r="G28" s="7">
        <f t="shared" si="2"/>
        <v>0</v>
      </c>
      <c r="H28" s="7" t="s">
        <v>136</v>
      </c>
      <c r="I28" s="19">
        <v>5.0</v>
      </c>
      <c r="J28" s="19">
        <v>925.2</v>
      </c>
      <c r="K28" s="7">
        <f t="shared" si="3"/>
        <v>4626</v>
      </c>
      <c r="L28" s="7"/>
    </row>
    <row r="29">
      <c r="A29" s="2" t="str">
        <f t="shared" si="1"/>
        <v>NSE:REDINGTON</v>
      </c>
      <c r="B29" s="15" t="s">
        <v>124</v>
      </c>
      <c r="C29" s="16" t="s">
        <v>125</v>
      </c>
      <c r="D29" s="17">
        <v>25.0</v>
      </c>
      <c r="E29" s="17">
        <v>218.0</v>
      </c>
      <c r="F29" s="18">
        <v>5452.0</v>
      </c>
      <c r="G29" s="7">
        <f t="shared" si="2"/>
        <v>0</v>
      </c>
      <c r="H29" s="7" t="s">
        <v>137</v>
      </c>
      <c r="I29" s="19">
        <v>25.0</v>
      </c>
      <c r="J29" s="19">
        <v>214.9</v>
      </c>
      <c r="K29" s="7">
        <f t="shared" si="3"/>
        <v>5372.5</v>
      </c>
      <c r="L29" s="19" t="s">
        <v>103</v>
      </c>
    </row>
    <row r="30">
      <c r="B30" s="20" t="s">
        <v>104</v>
      </c>
      <c r="C30" s="13"/>
      <c r="D30" s="13"/>
      <c r="E30" s="14"/>
      <c r="F30" s="21">
        <v>99456.0</v>
      </c>
      <c r="G30" s="7">
        <f t="shared" si="2"/>
        <v>0</v>
      </c>
      <c r="H30" s="7"/>
      <c r="I30" s="7"/>
      <c r="J30" s="7"/>
      <c r="K30" s="7">
        <f>SUM(K17:K29)</f>
        <v>91315.5</v>
      </c>
      <c r="L30" s="22">
        <f>F30-K30</f>
        <v>8140.5</v>
      </c>
    </row>
    <row r="31">
      <c r="B31" s="23"/>
    </row>
  </sheetData>
  <mergeCells count="5">
    <mergeCell ref="I6:K6"/>
    <mergeCell ref="B8:F8"/>
    <mergeCell ref="B12:E12"/>
    <mergeCell ref="B18:F18"/>
    <mergeCell ref="B30:E30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