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ty" sheetId="1" r:id="rId4"/>
    <sheet state="visible" name="Sheet2" sheetId="2" r:id="rId5"/>
  </sheets>
  <definedNames/>
  <calcPr/>
  <extLst>
    <ext uri="GoogleSheetsCustomDataVersion2">
      <go:sheetsCustomData xmlns:go="http://customooxmlschemas.google.com/" r:id="rId6" roundtripDataChecksum="OxYAts0Mg4MDhQH4XJUV2bIryb873vCaj2Pg+4t6onk="/>
    </ext>
  </extLst>
</workbook>
</file>

<file path=xl/sharedStrings.xml><?xml version="1.0" encoding="utf-8"?>
<sst xmlns="http://schemas.openxmlformats.org/spreadsheetml/2006/main" count="387" uniqueCount="168">
  <si>
    <t>View Zerodha's guide on using tax reports for filing.</t>
  </si>
  <si>
    <t>Client ID</t>
  </si>
  <si>
    <t>TV1822</t>
  </si>
  <si>
    <t>Tradebook for Equity from 2026-03-06 to 2026-04-20</t>
  </si>
  <si>
    <t/>
  </si>
  <si>
    <t>Symbol</t>
  </si>
  <si>
    <t>ISIN</t>
  </si>
  <si>
    <t>Trade Date</t>
  </si>
  <si>
    <t>Exchange</t>
  </si>
  <si>
    <t>Segment</t>
  </si>
  <si>
    <t>Series</t>
  </si>
  <si>
    <t>Trade Type</t>
  </si>
  <si>
    <t>Auction</t>
  </si>
  <si>
    <t>Quantity</t>
  </si>
  <si>
    <t>Price</t>
  </si>
  <si>
    <t>Trade ID</t>
  </si>
  <si>
    <t>Order ID</t>
  </si>
  <si>
    <t>Order Execution Time</t>
  </si>
  <si>
    <t>NAUKRI</t>
  </si>
  <si>
    <t>INE663F01032</t>
  </si>
  <si>
    <t>2026-04-10</t>
  </si>
  <si>
    <t>NSE</t>
  </si>
  <si>
    <t>EQ</t>
  </si>
  <si>
    <t>buy</t>
  </si>
  <si>
    <t>408012117</t>
  </si>
  <si>
    <t>1200000089135193</t>
  </si>
  <si>
    <t>2026-04-10T15:18:12</t>
  </si>
  <si>
    <t>408012116</t>
  </si>
  <si>
    <t>HDFCLIFE</t>
  </si>
  <si>
    <t>INE795G01014</t>
  </si>
  <si>
    <t>209664341</t>
  </si>
  <si>
    <t>1100000090322825</t>
  </si>
  <si>
    <t>2026-04-10T15:18:38</t>
  </si>
  <si>
    <t>LALPATHLAB</t>
  </si>
  <si>
    <t>INE600L01024</t>
  </si>
  <si>
    <t>408045304</t>
  </si>
  <si>
    <t>1200000089339114</t>
  </si>
  <si>
    <t>2026-04-10T15:18:57</t>
  </si>
  <si>
    <t>PIIND</t>
  </si>
  <si>
    <t>INE603J01030</t>
  </si>
  <si>
    <t>408054109</t>
  </si>
  <si>
    <t>1200000089415694</t>
  </si>
  <si>
    <t>2026-04-10T15:19:16</t>
  </si>
  <si>
    <t>POLICYBZR</t>
  </si>
  <si>
    <t>INE417T01026</t>
  </si>
  <si>
    <t>408068991</t>
  </si>
  <si>
    <t>1200000089511647</t>
  </si>
  <si>
    <t>2026-04-10T15:19:38</t>
  </si>
  <si>
    <t>LT</t>
  </si>
  <si>
    <t>INE018A01030</t>
  </si>
  <si>
    <t>408077149</t>
  </si>
  <si>
    <t>1200000089562631</t>
  </si>
  <si>
    <t>2026-04-10T15:19:51</t>
  </si>
  <si>
    <t>IDFCFIRSTB</t>
  </si>
  <si>
    <t>INE092T01019</t>
  </si>
  <si>
    <t>209756016</t>
  </si>
  <si>
    <t>1100000090750509</t>
  </si>
  <si>
    <t>2026-04-10T15:20:24</t>
  </si>
  <si>
    <t>209754939</t>
  </si>
  <si>
    <t>209756231</t>
  </si>
  <si>
    <t>ETERNAL</t>
  </si>
  <si>
    <t>INE758T01015</t>
  </si>
  <si>
    <t>209760559</t>
  </si>
  <si>
    <t>1100000090793541</t>
  </si>
  <si>
    <t>2026-04-10T15:20:38</t>
  </si>
  <si>
    <t>209760558</t>
  </si>
  <si>
    <t>HDFCAMC</t>
  </si>
  <si>
    <t>INE127D01025</t>
  </si>
  <si>
    <t>209771162</t>
  </si>
  <si>
    <t>1100000090838954</t>
  </si>
  <si>
    <t>2026-04-10T15:20:54</t>
  </si>
  <si>
    <t>209771163</t>
  </si>
  <si>
    <t>JIOFIN</t>
  </si>
  <si>
    <t>INE758E01017</t>
  </si>
  <si>
    <t>209787951</t>
  </si>
  <si>
    <t>1100000090903357</t>
  </si>
  <si>
    <t>2026-04-10T15:21:12</t>
  </si>
  <si>
    <t>209787953</t>
  </si>
  <si>
    <t>209787952</t>
  </si>
  <si>
    <t>TCS</t>
  </si>
  <si>
    <t>INE467B01029</t>
  </si>
  <si>
    <t>608819418</t>
  </si>
  <si>
    <t>1300000085193521</t>
  </si>
  <si>
    <t>2026-04-10T15:21:25</t>
  </si>
  <si>
    <t>PAYTM</t>
  </si>
  <si>
    <t>INE982J01020</t>
  </si>
  <si>
    <t>408157121</t>
  </si>
  <si>
    <t>1200000090003615</t>
  </si>
  <si>
    <t>2026-04-10T15:21:45</t>
  </si>
  <si>
    <t>408157120</t>
  </si>
  <si>
    <t>BAJFINANCE</t>
  </si>
  <si>
    <t>INE296A01032</t>
  </si>
  <si>
    <t>8006365</t>
  </si>
  <si>
    <t>1000000077934451</t>
  </si>
  <si>
    <t>2026-04-10T15:22:16</t>
  </si>
  <si>
    <t>LIQUIDBEES</t>
  </si>
  <si>
    <t>INF732E01037</t>
  </si>
  <si>
    <t>408189065</t>
  </si>
  <si>
    <t>1200000090191560</t>
  </si>
  <si>
    <t>2026-04-10T15:22:43</t>
  </si>
  <si>
    <t>JYOTHYLAB</t>
  </si>
  <si>
    <t>INE668F01031</t>
  </si>
  <si>
    <t>209890627</t>
  </si>
  <si>
    <t>1100000091310374</t>
  </si>
  <si>
    <t>2026-04-10T15:23:23</t>
  </si>
  <si>
    <t>209886762</t>
  </si>
  <si>
    <t>209982353</t>
  </si>
  <si>
    <t>209885317</t>
  </si>
  <si>
    <t>DIVISLAB</t>
  </si>
  <si>
    <t>INE361B01024</t>
  </si>
  <si>
    <t>209934729</t>
  </si>
  <si>
    <t>1100000090679061</t>
  </si>
  <si>
    <t>2026-04-10T15:24:12</t>
  </si>
  <si>
    <t>209933296</t>
  </si>
  <si>
    <t>209943695</t>
  </si>
  <si>
    <t>Portfolio Investment Recos for Ritesh Rai Apr 2026</t>
  </si>
  <si>
    <t>Company</t>
  </si>
  <si>
    <t>NSE Symbol</t>
  </si>
  <si>
    <t>Qty</t>
  </si>
  <si>
    <t>Value</t>
  </si>
  <si>
    <t>Larsen &amp; Toubro Limited</t>
  </si>
  <si>
    <t>NSE:LT</t>
  </si>
  <si>
    <t>HDFC Asset Management Company Limited</t>
  </si>
  <si>
    <t>NSE:HDFCAMC</t>
  </si>
  <si>
    <t>Jio Financial Services Limited</t>
  </si>
  <si>
    <t>NSE:JIOFIN</t>
  </si>
  <si>
    <t>Trent Limited</t>
  </si>
  <si>
    <t>TRENT</t>
  </si>
  <si>
    <t>NSE:TRENT</t>
  </si>
  <si>
    <t>Landmark Cars Limited</t>
  </si>
  <si>
    <t>LANDMARK</t>
  </si>
  <si>
    <t>NSE:LANDMARK</t>
  </si>
  <si>
    <t>ETERNAL LIMITED</t>
  </si>
  <si>
    <t>NSE:ETERNAL</t>
  </si>
  <si>
    <t>PI Industries Limited</t>
  </si>
  <si>
    <t>NSE:PIIND</t>
  </si>
  <si>
    <t>HDFC Life Insurance Company Limited</t>
  </si>
  <si>
    <t>NSE:HDFCLIFE</t>
  </si>
  <si>
    <t>Info Edge (India) Limited</t>
  </si>
  <si>
    <t>NSE:NAUKRI</t>
  </si>
  <si>
    <t>Dr. Lal Path Labs Ltd.</t>
  </si>
  <si>
    <t>NSE:LALPATHLAB</t>
  </si>
  <si>
    <t>Indian Energy Exchange Limited</t>
  </si>
  <si>
    <t>IEX</t>
  </si>
  <si>
    <t>NSE:IEX</t>
  </si>
  <si>
    <t>HDFC Bank Limited</t>
  </si>
  <si>
    <t>HDFCBANK</t>
  </si>
  <si>
    <t>Bajaj Finance Limited</t>
  </si>
  <si>
    <t>Kotak Mahindra Bank Limited</t>
  </si>
  <si>
    <t>KOTAKBANK</t>
  </si>
  <si>
    <t>NSE:KOTAKBANK</t>
  </si>
  <si>
    <t>Ather Energy Limited</t>
  </si>
  <si>
    <t>ATHERENERG</t>
  </si>
  <si>
    <t>NSE:ATHERENERG</t>
  </si>
  <si>
    <t>Total Buy Recos</t>
  </si>
  <si>
    <t>Net Investment Amount (Buy - Sell)</t>
  </si>
  <si>
    <t>Best regards,</t>
  </si>
  <si>
    <t>Inertia Team</t>
  </si>
  <si>
    <t>Regards,</t>
  </si>
  <si>
    <t>Anshul Khare</t>
  </si>
  <si>
    <t>SEBI Registered Investment Adviser Registration No. INA000018090</t>
  </si>
  <si>
    <t>Inertia Equities For Wealth</t>
  </si>
  <si>
    <t>S No.227,228,229, Bldg E4, F No. 403, Rohan Mithilla, PUNE, MAHARASHTRA, 411014</t>
  </si>
  <si>
    <t>Mob: 9881127924</t>
  </si>
  <si>
    <t>SEBI Registered Investment Advisers Registration No. INA000018090
(Type of Registration- Individual, Validity of Registration- Perpetual)
BASL Membership - BASL2007</t>
  </si>
  <si>
    <t>Address: S No.227,228,229, Bldg E4, F No. 403, Rohan Mithilla, PUNE, MAHARASHTRA, 411014
Contact No: 91 9881127924, Email: anshul.khare@equities4wealth.com
SEBI regional/local office address - Plot No. C 4-A , G Block, Near Bank of India, Bandra Kurla Complex, Bandra East, Mumbai, Maharashtra 400051</t>
  </si>
  <si>
    <t>Investment in securities market are subject to market risks. Read all the related documents carefully before investing.</t>
  </si>
  <si>
    <t>Registration granted by SEBI, membership of BASL and certification from National Institute of Securities Markets (NISM) in no way guarantee performance of the intermediary or provide any assurance of returns to investors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</si>
</sst>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color theme="1"/>
      <name val="Calibri"/>
      <scheme val="minor"/>
    </font>
    <font>
      <u/>
      <color rgb="FF0000FF"/>
    </font>
    <font>
      <b/>
      <sz val="11.0"/>
      <color rgb="FF000000"/>
      <name val="Calibri"/>
    </font>
    <font>
      <sz val="11.0"/>
      <color theme="1"/>
      <name val="Calibri"/>
    </font>
    <font>
      <sz val="12.0"/>
      <color rgb="FF212529"/>
      <name val="-apple-system"/>
    </font>
    <font>
      <b/>
      <sz val="12.0"/>
      <color rgb="FF7A001E"/>
      <name val="-apple-system"/>
    </font>
    <font>
      <b/>
      <sz val="9.0"/>
      <color rgb="FF222222"/>
      <name val="Arial"/>
    </font>
    <font>
      <sz val="9.0"/>
      <color rgb="FF212529"/>
      <name val="Arial"/>
    </font>
    <font>
      <sz val="9.0"/>
      <color rgb="FF0B486B"/>
      <name val="Arial"/>
    </font>
    <font>
      <b/>
      <sz val="9.0"/>
      <color rgb="FF212529"/>
      <name val="Arial"/>
    </font>
    <font/>
    <font>
      <b/>
      <sz val="9.0"/>
      <color rgb="FF006400"/>
      <name val="Arial"/>
    </font>
    <font>
      <b/>
      <sz val="11.0"/>
      <color rgb="FF212529"/>
      <name val="Arial"/>
    </font>
    <font>
      <b/>
      <sz val="11.0"/>
      <color rgb="FF006400"/>
      <name val="Arial"/>
    </font>
    <font>
      <sz val="12.0"/>
      <color rgb="FF222222"/>
      <name val="Arial"/>
    </font>
    <font>
      <b/>
      <sz val="12.0"/>
      <color rgb="FF222222"/>
      <name val="Arial"/>
    </font>
    <font>
      <b/>
      <sz val="12.0"/>
      <color rgb="FF8A5A2B"/>
      <name val="Arial"/>
    </font>
    <font>
      <b/>
      <sz val="11.0"/>
      <color rgb="FF8A5A2B"/>
      <name val="Arial"/>
    </font>
    <font>
      <b/>
      <sz val="11.0"/>
      <color rgb="FF0B486B"/>
      <name val="Arial"/>
    </font>
    <font>
      <b/>
      <color rgb="FF2E7D32"/>
      <name val="Arial"/>
    </font>
    <font>
      <b/>
      <sz val="14.0"/>
      <color rgb="FF222222"/>
      <name val="Arial"/>
    </font>
    <font>
      <color rgb="FF222222"/>
      <name val="Arial"/>
    </font>
    <font>
      <sz val="9.0"/>
      <color rgb="FF222222"/>
      <name val="Arial"/>
    </font>
  </fonts>
  <fills count="4">
    <fill>
      <patternFill patternType="none"/>
    </fill>
    <fill>
      <patternFill patternType="lightGray"/>
    </fill>
    <fill>
      <patternFill patternType="solid">
        <fgColor rgb="FFFFFFFF"/>
        <bgColor rgb="FFFFFFFF"/>
      </patternFill>
    </fill>
    <fill>
      <patternFill patternType="solid">
        <fgColor rgb="FFF9F9F9"/>
        <bgColor rgb="FFF9F9F9"/>
      </patternFill>
    </fill>
  </fills>
  <borders count="5">
    <border/>
    <border>
      <left style="thin">
        <color rgb="FFDDDDDD"/>
      </left>
      <top style="thin">
        <color rgb="FF777777"/>
      </top>
      <bottom style="thin">
        <color rgb="FFDDDDDD"/>
      </bottom>
    </border>
    <border>
      <top style="thin">
        <color rgb="FF777777"/>
      </top>
      <bottom style="thin">
        <color rgb="FFDDDDDD"/>
      </bottom>
    </border>
    <border>
      <right style="thin">
        <color rgb="FFDDDDDD"/>
      </right>
      <top style="thin">
        <color rgb="FF777777"/>
      </top>
      <bottom style="thin">
        <color rgb="FFDDDDDD"/>
      </bottom>
    </border>
    <border>
      <left style="thin">
        <color rgb="FFDDDDDD"/>
      </left>
      <right style="thin">
        <color rgb="FFDDDDDD"/>
      </right>
      <top style="thin">
        <color rgb="FF777777"/>
      </top>
      <bottom style="thin">
        <color rgb="FFDDDDDD"/>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xf>
    <xf borderId="0" fillId="0" fontId="4" numFmtId="0" xfId="0" applyAlignment="1" applyFont="1">
      <alignment horizontal="left"/>
    </xf>
    <xf borderId="0" fillId="2" fontId="5" numFmtId="0" xfId="0" applyAlignment="1" applyFill="1" applyFont="1">
      <alignment readingOrder="0"/>
    </xf>
    <xf borderId="0" fillId="2" fontId="6" numFmtId="0" xfId="0" applyAlignment="1" applyFont="1">
      <alignment horizontal="left" readingOrder="0"/>
    </xf>
    <xf borderId="0" fillId="2" fontId="7" numFmtId="0" xfId="0" applyAlignment="1" applyFont="1">
      <alignment horizontal="left" readingOrder="0"/>
    </xf>
    <xf borderId="0" fillId="2" fontId="7" numFmtId="0" xfId="0" applyAlignment="1" applyFont="1">
      <alignment horizontal="right" readingOrder="0"/>
    </xf>
    <xf borderId="0" fillId="3" fontId="8" numFmtId="0" xfId="0" applyAlignment="1" applyFill="1" applyFont="1">
      <alignment horizontal="left" readingOrder="0" shrinkToFit="0" wrapText="1"/>
    </xf>
    <xf borderId="0" fillId="3" fontId="9" numFmtId="0" xfId="0" applyAlignment="1" applyFont="1">
      <alignment horizontal="left" readingOrder="0" shrinkToFit="0" wrapText="0"/>
    </xf>
    <xf borderId="0" fillId="3" fontId="8" numFmtId="0" xfId="0" applyAlignment="1" applyFont="1">
      <alignment horizontal="right" readingOrder="0" shrinkToFit="0" wrapText="0"/>
    </xf>
    <xf borderId="0" fillId="3" fontId="8" numFmtId="3" xfId="0" applyAlignment="1" applyFont="1" applyNumberFormat="1">
      <alignment horizontal="right" readingOrder="0" shrinkToFit="0" wrapText="0"/>
    </xf>
    <xf borderId="0" fillId="0" fontId="1" numFmtId="0" xfId="0" applyAlignment="1" applyFont="1">
      <alignment readingOrder="0"/>
    </xf>
    <xf borderId="0" fillId="2" fontId="8" numFmtId="0" xfId="0" applyAlignment="1" applyFont="1">
      <alignment horizontal="left" readingOrder="0" shrinkToFit="0" wrapText="1"/>
    </xf>
    <xf borderId="0" fillId="2" fontId="9" numFmtId="0" xfId="0" applyAlignment="1" applyFont="1">
      <alignment horizontal="left" readingOrder="0" shrinkToFit="0" wrapText="0"/>
    </xf>
    <xf borderId="0" fillId="2" fontId="8" numFmtId="0" xfId="0" applyAlignment="1" applyFont="1">
      <alignment horizontal="right" readingOrder="0" shrinkToFit="0" wrapText="0"/>
    </xf>
    <xf borderId="0" fillId="2" fontId="8" numFmtId="3" xfId="0" applyAlignment="1" applyFont="1" applyNumberFormat="1">
      <alignment horizontal="right" readingOrder="0" shrinkToFit="0" wrapText="0"/>
    </xf>
    <xf borderId="1" fillId="2" fontId="10" numFmtId="0" xfId="0" applyAlignment="1" applyBorder="1" applyFont="1">
      <alignment horizontal="right" readingOrder="0"/>
    </xf>
    <xf borderId="2" fillId="0" fontId="11" numFmtId="0" xfId="0" applyBorder="1" applyFont="1"/>
    <xf borderId="3" fillId="0" fontId="11" numFmtId="0" xfId="0" applyBorder="1" applyFont="1"/>
    <xf borderId="4" fillId="2" fontId="12" numFmtId="3" xfId="0" applyAlignment="1" applyBorder="1" applyFont="1" applyNumberFormat="1">
      <alignment horizontal="right" readingOrder="0"/>
    </xf>
    <xf borderId="1" fillId="2" fontId="13" numFmtId="0" xfId="0" applyAlignment="1" applyBorder="1" applyFont="1">
      <alignment horizontal="right" readingOrder="0"/>
    </xf>
    <xf borderId="4" fillId="2" fontId="14" numFmtId="3" xfId="0" applyAlignment="1" applyBorder="1" applyFont="1" applyNumberFormat="1">
      <alignment horizontal="right" readingOrder="0"/>
    </xf>
    <xf borderId="0" fillId="2" fontId="15" numFmtId="0" xfId="0" applyFont="1"/>
    <xf borderId="0" fillId="2" fontId="16" numFmtId="0" xfId="0" applyAlignment="1" applyFont="1">
      <alignment readingOrder="0"/>
    </xf>
    <xf borderId="0" fillId="2" fontId="17" numFmtId="0" xfId="0" applyAlignment="1" applyFont="1">
      <alignment readingOrder="0"/>
    </xf>
    <xf borderId="0" fillId="2" fontId="18" numFmtId="0" xfId="0" applyAlignment="1" applyFont="1">
      <alignment readingOrder="0"/>
    </xf>
    <xf borderId="0" fillId="2" fontId="19" numFmtId="0" xfId="0" applyAlignment="1" applyFont="1">
      <alignment readingOrder="0"/>
    </xf>
    <xf borderId="0" fillId="2" fontId="20" numFmtId="0" xfId="0" applyAlignment="1" applyFont="1">
      <alignment readingOrder="0"/>
    </xf>
    <xf borderId="0" fillId="2" fontId="21" numFmtId="0" xfId="0" applyAlignment="1" applyFont="1">
      <alignment horizontal="center" readingOrder="0"/>
    </xf>
    <xf borderId="0" fillId="3" fontId="22" numFmtId="0" xfId="0" applyAlignment="1" applyFont="1">
      <alignment horizontal="center" readingOrder="0"/>
    </xf>
    <xf borderId="0" fillId="2" fontId="22" numFmtId="0" xfId="0" applyAlignment="1" applyFont="1">
      <alignment horizontal="center" readingOrder="0"/>
    </xf>
    <xf borderId="0" fillId="3" fontId="23" numFmtId="0" xfId="0" applyAlignment="1" applyFont="1">
      <alignment horizontal="center" readingOrder="0"/>
    </xf>
    <xf borderId="0" fillId="2" fontId="2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4287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zerodha.com/category/console/reports/taxation/articles/things-to-consider-when-filing-taxes-using-zerodha-s-repor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2" width="22.0"/>
    <col customWidth="1" min="3" max="26" width="15.0"/>
  </cols>
  <sheetData>
    <row r="1" ht="12.0" customHeight="1"/>
    <row r="2">
      <c r="B2" s="1"/>
    </row>
    <row r="4">
      <c r="B4" s="2" t="s">
        <v>0</v>
      </c>
    </row>
    <row r="7">
      <c r="B7" s="3" t="s">
        <v>1</v>
      </c>
      <c r="C7" s="3" t="s">
        <v>2</v>
      </c>
    </row>
    <row r="8">
      <c r="B8" s="3"/>
      <c r="C8" s="3"/>
    </row>
    <row r="9">
      <c r="B9" s="3"/>
      <c r="C9" s="3"/>
    </row>
    <row r="11">
      <c r="B11" s="3" t="s">
        <v>3</v>
      </c>
    </row>
    <row r="13">
      <c r="B13" s="3" t="s">
        <v>4</v>
      </c>
    </row>
    <row r="15">
      <c r="B15" s="3" t="s">
        <v>5</v>
      </c>
      <c r="C15" s="3" t="s">
        <v>6</v>
      </c>
      <c r="D15" s="3" t="s">
        <v>7</v>
      </c>
      <c r="E15" s="3" t="s">
        <v>8</v>
      </c>
      <c r="F15" s="3" t="s">
        <v>9</v>
      </c>
      <c r="G15" s="3" t="s">
        <v>10</v>
      </c>
      <c r="H15" s="3" t="s">
        <v>11</v>
      </c>
      <c r="I15" s="3" t="s">
        <v>12</v>
      </c>
      <c r="J15" s="3" t="s">
        <v>13</v>
      </c>
      <c r="K15" s="3" t="s">
        <v>14</v>
      </c>
      <c r="L15" s="3" t="s">
        <v>15</v>
      </c>
      <c r="M15" s="3" t="s">
        <v>16</v>
      </c>
      <c r="N15" s="3" t="s">
        <v>17</v>
      </c>
    </row>
    <row r="16">
      <c r="B16" s="1" t="s">
        <v>18</v>
      </c>
      <c r="C16" s="1" t="s">
        <v>19</v>
      </c>
      <c r="D16" s="1" t="s">
        <v>20</v>
      </c>
      <c r="E16" s="1" t="s">
        <v>21</v>
      </c>
      <c r="F16" s="1" t="s">
        <v>22</v>
      </c>
      <c r="G16" s="1" t="s">
        <v>22</v>
      </c>
      <c r="H16" s="1" t="s">
        <v>23</v>
      </c>
      <c r="I16" s="1" t="b">
        <v>0</v>
      </c>
      <c r="J16" s="4">
        <v>14.0</v>
      </c>
      <c r="K16" s="4">
        <v>991.0</v>
      </c>
      <c r="L16" s="1" t="s">
        <v>24</v>
      </c>
      <c r="M16" s="1" t="s">
        <v>25</v>
      </c>
      <c r="N16" s="1" t="s">
        <v>26</v>
      </c>
    </row>
    <row r="17">
      <c r="B17" s="1" t="s">
        <v>18</v>
      </c>
      <c r="C17" s="1" t="s">
        <v>19</v>
      </c>
      <c r="D17" s="1" t="s">
        <v>20</v>
      </c>
      <c r="E17" s="1" t="s">
        <v>21</v>
      </c>
      <c r="F17" s="1" t="s">
        <v>22</v>
      </c>
      <c r="G17" s="1" t="s">
        <v>22</v>
      </c>
      <c r="H17" s="1" t="s">
        <v>23</v>
      </c>
      <c r="I17" s="1" t="b">
        <v>0</v>
      </c>
      <c r="J17" s="4">
        <v>6.0</v>
      </c>
      <c r="K17" s="4">
        <v>991.0</v>
      </c>
      <c r="L17" s="1" t="s">
        <v>27</v>
      </c>
      <c r="M17" s="1" t="s">
        <v>25</v>
      </c>
      <c r="N17" s="1" t="s">
        <v>26</v>
      </c>
    </row>
    <row r="18">
      <c r="B18" s="1" t="s">
        <v>28</v>
      </c>
      <c r="C18" s="1" t="s">
        <v>29</v>
      </c>
      <c r="D18" s="1" t="s">
        <v>20</v>
      </c>
      <c r="E18" s="1" t="s">
        <v>21</v>
      </c>
      <c r="F18" s="1" t="s">
        <v>22</v>
      </c>
      <c r="G18" s="1" t="s">
        <v>22</v>
      </c>
      <c r="H18" s="1" t="s">
        <v>23</v>
      </c>
      <c r="I18" s="1" t="b">
        <v>0</v>
      </c>
      <c r="J18" s="4">
        <v>50.0</v>
      </c>
      <c r="K18" s="4">
        <v>604.35</v>
      </c>
      <c r="L18" s="1" t="s">
        <v>30</v>
      </c>
      <c r="M18" s="1" t="s">
        <v>31</v>
      </c>
      <c r="N18" s="1" t="s">
        <v>32</v>
      </c>
    </row>
    <row r="19">
      <c r="B19" s="1" t="s">
        <v>33</v>
      </c>
      <c r="C19" s="1" t="s">
        <v>34</v>
      </c>
      <c r="D19" s="1" t="s">
        <v>20</v>
      </c>
      <c r="E19" s="1" t="s">
        <v>21</v>
      </c>
      <c r="F19" s="1" t="s">
        <v>22</v>
      </c>
      <c r="G19" s="1" t="s">
        <v>22</v>
      </c>
      <c r="H19" s="1" t="s">
        <v>23</v>
      </c>
      <c r="I19" s="1" t="b">
        <v>0</v>
      </c>
      <c r="J19" s="4">
        <v>25.0</v>
      </c>
      <c r="K19" s="4">
        <v>1399.9</v>
      </c>
      <c r="L19" s="1" t="s">
        <v>35</v>
      </c>
      <c r="M19" s="1" t="s">
        <v>36</v>
      </c>
      <c r="N19" s="1" t="s">
        <v>37</v>
      </c>
    </row>
    <row r="20">
      <c r="B20" s="1" t="s">
        <v>38</v>
      </c>
      <c r="C20" s="1" t="s">
        <v>39</v>
      </c>
      <c r="D20" s="1" t="s">
        <v>20</v>
      </c>
      <c r="E20" s="1" t="s">
        <v>21</v>
      </c>
      <c r="F20" s="1" t="s">
        <v>22</v>
      </c>
      <c r="G20" s="1" t="s">
        <v>22</v>
      </c>
      <c r="H20" s="1" t="s">
        <v>23</v>
      </c>
      <c r="I20" s="1" t="b">
        <v>0</v>
      </c>
      <c r="J20" s="4">
        <v>10.0</v>
      </c>
      <c r="K20" s="4">
        <v>2953.5</v>
      </c>
      <c r="L20" s="1" t="s">
        <v>40</v>
      </c>
      <c r="M20" s="1" t="s">
        <v>41</v>
      </c>
      <c r="N20" s="1" t="s">
        <v>42</v>
      </c>
    </row>
    <row r="21" ht="15.75" customHeight="1">
      <c r="B21" s="1" t="s">
        <v>43</v>
      </c>
      <c r="C21" s="1" t="s">
        <v>44</v>
      </c>
      <c r="D21" s="1" t="s">
        <v>20</v>
      </c>
      <c r="E21" s="1" t="s">
        <v>21</v>
      </c>
      <c r="F21" s="1" t="s">
        <v>22</v>
      </c>
      <c r="G21" s="1" t="s">
        <v>22</v>
      </c>
      <c r="H21" s="1" t="s">
        <v>23</v>
      </c>
      <c r="I21" s="1" t="b">
        <v>0</v>
      </c>
      <c r="J21" s="4">
        <v>20.0</v>
      </c>
      <c r="K21" s="4">
        <v>1511.8</v>
      </c>
      <c r="L21" s="1" t="s">
        <v>45</v>
      </c>
      <c r="M21" s="1" t="s">
        <v>46</v>
      </c>
      <c r="N21" s="1" t="s">
        <v>47</v>
      </c>
    </row>
    <row r="22" ht="15.75" customHeight="1">
      <c r="B22" s="1" t="s">
        <v>48</v>
      </c>
      <c r="C22" s="1" t="s">
        <v>49</v>
      </c>
      <c r="D22" s="1" t="s">
        <v>20</v>
      </c>
      <c r="E22" s="1" t="s">
        <v>21</v>
      </c>
      <c r="F22" s="1" t="s">
        <v>22</v>
      </c>
      <c r="G22" s="1" t="s">
        <v>22</v>
      </c>
      <c r="H22" s="1" t="s">
        <v>23</v>
      </c>
      <c r="I22" s="1" t="b">
        <v>0</v>
      </c>
      <c r="J22" s="4">
        <v>15.0</v>
      </c>
      <c r="K22" s="4">
        <v>3960.0</v>
      </c>
      <c r="L22" s="1" t="s">
        <v>50</v>
      </c>
      <c r="M22" s="1" t="s">
        <v>51</v>
      </c>
      <c r="N22" s="1" t="s">
        <v>52</v>
      </c>
    </row>
    <row r="23" ht="15.75" customHeight="1">
      <c r="B23" s="1" t="s">
        <v>53</v>
      </c>
      <c r="C23" s="1" t="s">
        <v>54</v>
      </c>
      <c r="D23" s="1" t="s">
        <v>20</v>
      </c>
      <c r="E23" s="1" t="s">
        <v>21</v>
      </c>
      <c r="F23" s="1" t="s">
        <v>22</v>
      </c>
      <c r="G23" s="1" t="s">
        <v>22</v>
      </c>
      <c r="H23" s="1" t="s">
        <v>23</v>
      </c>
      <c r="I23" s="1" t="b">
        <v>0</v>
      </c>
      <c r="J23" s="4">
        <v>3.0</v>
      </c>
      <c r="K23" s="4">
        <v>66.22</v>
      </c>
      <c r="L23" s="1" t="s">
        <v>55</v>
      </c>
      <c r="M23" s="1" t="s">
        <v>56</v>
      </c>
      <c r="N23" s="1" t="s">
        <v>57</v>
      </c>
    </row>
    <row r="24" ht="15.75" customHeight="1">
      <c r="B24" s="1" t="s">
        <v>53</v>
      </c>
      <c r="C24" s="1" t="s">
        <v>54</v>
      </c>
      <c r="D24" s="1" t="s">
        <v>20</v>
      </c>
      <c r="E24" s="1" t="s">
        <v>21</v>
      </c>
      <c r="F24" s="1" t="s">
        <v>22</v>
      </c>
      <c r="G24" s="1" t="s">
        <v>22</v>
      </c>
      <c r="H24" s="1" t="s">
        <v>23</v>
      </c>
      <c r="I24" s="1" t="b">
        <v>0</v>
      </c>
      <c r="J24" s="4">
        <v>401.0</v>
      </c>
      <c r="K24" s="4">
        <v>66.22</v>
      </c>
      <c r="L24" s="1" t="s">
        <v>58</v>
      </c>
      <c r="M24" s="1" t="s">
        <v>56</v>
      </c>
      <c r="N24" s="1" t="s">
        <v>57</v>
      </c>
    </row>
    <row r="25" ht="15.75" customHeight="1">
      <c r="B25" s="1" t="s">
        <v>53</v>
      </c>
      <c r="C25" s="1" t="s">
        <v>54</v>
      </c>
      <c r="D25" s="1" t="s">
        <v>20</v>
      </c>
      <c r="E25" s="1" t="s">
        <v>21</v>
      </c>
      <c r="F25" s="1" t="s">
        <v>22</v>
      </c>
      <c r="G25" s="1" t="s">
        <v>22</v>
      </c>
      <c r="H25" s="1" t="s">
        <v>23</v>
      </c>
      <c r="I25" s="1" t="b">
        <v>0</v>
      </c>
      <c r="J25" s="4">
        <v>96.0</v>
      </c>
      <c r="K25" s="4">
        <v>66.22</v>
      </c>
      <c r="L25" s="1" t="s">
        <v>59</v>
      </c>
      <c r="M25" s="1" t="s">
        <v>56</v>
      </c>
      <c r="N25" s="1" t="s">
        <v>57</v>
      </c>
    </row>
    <row r="26" ht="15.75" customHeight="1">
      <c r="B26" s="1" t="s">
        <v>60</v>
      </c>
      <c r="C26" s="1" t="s">
        <v>61</v>
      </c>
      <c r="D26" s="1" t="s">
        <v>20</v>
      </c>
      <c r="E26" s="1" t="s">
        <v>21</v>
      </c>
      <c r="F26" s="1" t="s">
        <v>22</v>
      </c>
      <c r="G26" s="1" t="s">
        <v>22</v>
      </c>
      <c r="H26" s="1" t="s">
        <v>23</v>
      </c>
      <c r="I26" s="1" t="b">
        <v>0</v>
      </c>
      <c r="J26" s="4">
        <v>110.0</v>
      </c>
      <c r="K26" s="4">
        <v>240.18</v>
      </c>
      <c r="L26" s="1" t="s">
        <v>62</v>
      </c>
      <c r="M26" s="1" t="s">
        <v>63</v>
      </c>
      <c r="N26" s="1" t="s">
        <v>64</v>
      </c>
    </row>
    <row r="27" ht="15.75" customHeight="1">
      <c r="B27" s="1" t="s">
        <v>60</v>
      </c>
      <c r="C27" s="1" t="s">
        <v>61</v>
      </c>
      <c r="D27" s="1" t="s">
        <v>20</v>
      </c>
      <c r="E27" s="1" t="s">
        <v>21</v>
      </c>
      <c r="F27" s="1" t="s">
        <v>22</v>
      </c>
      <c r="G27" s="1" t="s">
        <v>22</v>
      </c>
      <c r="H27" s="1" t="s">
        <v>23</v>
      </c>
      <c r="I27" s="1" t="b">
        <v>0</v>
      </c>
      <c r="J27" s="4">
        <v>90.0</v>
      </c>
      <c r="K27" s="4">
        <v>240.18</v>
      </c>
      <c r="L27" s="1" t="s">
        <v>65</v>
      </c>
      <c r="M27" s="1" t="s">
        <v>63</v>
      </c>
      <c r="N27" s="1" t="s">
        <v>64</v>
      </c>
    </row>
    <row r="28" ht="15.75" customHeight="1">
      <c r="B28" s="1" t="s">
        <v>66</v>
      </c>
      <c r="C28" s="1" t="s">
        <v>67</v>
      </c>
      <c r="D28" s="1" t="s">
        <v>20</v>
      </c>
      <c r="E28" s="1" t="s">
        <v>21</v>
      </c>
      <c r="F28" s="1" t="s">
        <v>22</v>
      </c>
      <c r="G28" s="1" t="s">
        <v>22</v>
      </c>
      <c r="H28" s="1" t="s">
        <v>23</v>
      </c>
      <c r="I28" s="1" t="b">
        <v>0</v>
      </c>
      <c r="J28" s="4">
        <v>1.0</v>
      </c>
      <c r="K28" s="4">
        <v>2615.2</v>
      </c>
      <c r="L28" s="1" t="s">
        <v>68</v>
      </c>
      <c r="M28" s="1" t="s">
        <v>69</v>
      </c>
      <c r="N28" s="1" t="s">
        <v>70</v>
      </c>
    </row>
    <row r="29" ht="15.75" customHeight="1">
      <c r="B29" s="1" t="s">
        <v>66</v>
      </c>
      <c r="C29" s="1" t="s">
        <v>67</v>
      </c>
      <c r="D29" s="1" t="s">
        <v>20</v>
      </c>
      <c r="E29" s="1" t="s">
        <v>21</v>
      </c>
      <c r="F29" s="1" t="s">
        <v>22</v>
      </c>
      <c r="G29" s="1" t="s">
        <v>22</v>
      </c>
      <c r="H29" s="1" t="s">
        <v>23</v>
      </c>
      <c r="I29" s="1" t="b">
        <v>0</v>
      </c>
      <c r="J29" s="4">
        <v>19.0</v>
      </c>
      <c r="K29" s="4">
        <v>2615.2</v>
      </c>
      <c r="L29" s="1" t="s">
        <v>71</v>
      </c>
      <c r="M29" s="1" t="s">
        <v>69</v>
      </c>
      <c r="N29" s="1" t="s">
        <v>70</v>
      </c>
    </row>
    <row r="30" ht="15.75" customHeight="1">
      <c r="B30" s="1" t="s">
        <v>72</v>
      </c>
      <c r="C30" s="1" t="s">
        <v>73</v>
      </c>
      <c r="D30" s="1" t="s">
        <v>20</v>
      </c>
      <c r="E30" s="1" t="s">
        <v>21</v>
      </c>
      <c r="F30" s="1" t="s">
        <v>22</v>
      </c>
      <c r="G30" s="1" t="s">
        <v>22</v>
      </c>
      <c r="H30" s="1" t="s">
        <v>23</v>
      </c>
      <c r="I30" s="1" t="b">
        <v>0</v>
      </c>
      <c r="J30" s="4">
        <v>139.0</v>
      </c>
      <c r="K30" s="4">
        <v>243.25</v>
      </c>
      <c r="L30" s="1" t="s">
        <v>74</v>
      </c>
      <c r="M30" s="1" t="s">
        <v>75</v>
      </c>
      <c r="N30" s="1" t="s">
        <v>76</v>
      </c>
    </row>
    <row r="31" ht="15.75" customHeight="1">
      <c r="B31" s="1" t="s">
        <v>72</v>
      </c>
      <c r="C31" s="1" t="s">
        <v>73</v>
      </c>
      <c r="D31" s="1" t="s">
        <v>20</v>
      </c>
      <c r="E31" s="1" t="s">
        <v>21</v>
      </c>
      <c r="F31" s="1" t="s">
        <v>22</v>
      </c>
      <c r="G31" s="1" t="s">
        <v>22</v>
      </c>
      <c r="H31" s="1" t="s">
        <v>23</v>
      </c>
      <c r="I31" s="1" t="b">
        <v>0</v>
      </c>
      <c r="J31" s="4">
        <v>26.0</v>
      </c>
      <c r="K31" s="4">
        <v>243.25</v>
      </c>
      <c r="L31" s="1" t="s">
        <v>77</v>
      </c>
      <c r="M31" s="1" t="s">
        <v>75</v>
      </c>
      <c r="N31" s="1" t="s">
        <v>76</v>
      </c>
    </row>
    <row r="32" ht="15.75" customHeight="1">
      <c r="B32" s="1" t="s">
        <v>72</v>
      </c>
      <c r="C32" s="1" t="s">
        <v>73</v>
      </c>
      <c r="D32" s="1" t="s">
        <v>20</v>
      </c>
      <c r="E32" s="1" t="s">
        <v>21</v>
      </c>
      <c r="F32" s="1" t="s">
        <v>22</v>
      </c>
      <c r="G32" s="1" t="s">
        <v>22</v>
      </c>
      <c r="H32" s="1" t="s">
        <v>23</v>
      </c>
      <c r="I32" s="1" t="b">
        <v>0</v>
      </c>
      <c r="J32" s="4">
        <v>35.0</v>
      </c>
      <c r="K32" s="4">
        <v>243.25</v>
      </c>
      <c r="L32" s="1" t="s">
        <v>78</v>
      </c>
      <c r="M32" s="1" t="s">
        <v>75</v>
      </c>
      <c r="N32" s="1" t="s">
        <v>76</v>
      </c>
    </row>
    <row r="33" ht="15.75" customHeight="1">
      <c r="B33" s="1" t="s">
        <v>79</v>
      </c>
      <c r="C33" s="1" t="s">
        <v>80</v>
      </c>
      <c r="D33" s="1" t="s">
        <v>20</v>
      </c>
      <c r="E33" s="1" t="s">
        <v>21</v>
      </c>
      <c r="F33" s="1" t="s">
        <v>22</v>
      </c>
      <c r="G33" s="1" t="s">
        <v>22</v>
      </c>
      <c r="H33" s="1" t="s">
        <v>23</v>
      </c>
      <c r="I33" s="1" t="b">
        <v>0</v>
      </c>
      <c r="J33" s="4">
        <v>10.0</v>
      </c>
      <c r="K33" s="4">
        <v>2526.2</v>
      </c>
      <c r="L33" s="1" t="s">
        <v>81</v>
      </c>
      <c r="M33" s="1" t="s">
        <v>82</v>
      </c>
      <c r="N33" s="1" t="s">
        <v>83</v>
      </c>
    </row>
    <row r="34" ht="15.75" customHeight="1">
      <c r="B34" s="1" t="s">
        <v>84</v>
      </c>
      <c r="C34" s="1" t="s">
        <v>85</v>
      </c>
      <c r="D34" s="1" t="s">
        <v>20</v>
      </c>
      <c r="E34" s="1" t="s">
        <v>21</v>
      </c>
      <c r="F34" s="1" t="s">
        <v>22</v>
      </c>
      <c r="G34" s="1" t="s">
        <v>22</v>
      </c>
      <c r="H34" s="1" t="s">
        <v>23</v>
      </c>
      <c r="I34" s="1" t="b">
        <v>0</v>
      </c>
      <c r="J34" s="4">
        <v>24.0</v>
      </c>
      <c r="K34" s="4">
        <v>1125.05</v>
      </c>
      <c r="L34" s="1" t="s">
        <v>86</v>
      </c>
      <c r="M34" s="1" t="s">
        <v>87</v>
      </c>
      <c r="N34" s="1" t="s">
        <v>88</v>
      </c>
    </row>
    <row r="35" ht="15.75" customHeight="1">
      <c r="B35" s="1" t="s">
        <v>84</v>
      </c>
      <c r="C35" s="1" t="s">
        <v>85</v>
      </c>
      <c r="D35" s="1" t="s">
        <v>20</v>
      </c>
      <c r="E35" s="1" t="s">
        <v>21</v>
      </c>
      <c r="F35" s="1" t="s">
        <v>22</v>
      </c>
      <c r="G35" s="1" t="s">
        <v>22</v>
      </c>
      <c r="H35" s="1" t="s">
        <v>23</v>
      </c>
      <c r="I35" s="1" t="b">
        <v>0</v>
      </c>
      <c r="J35" s="4">
        <v>6.0</v>
      </c>
      <c r="K35" s="4">
        <v>1125.05</v>
      </c>
      <c r="L35" s="1" t="s">
        <v>89</v>
      </c>
      <c r="M35" s="1" t="s">
        <v>87</v>
      </c>
      <c r="N35" s="1" t="s">
        <v>88</v>
      </c>
    </row>
    <row r="36" ht="15.75" customHeight="1">
      <c r="B36" s="1" t="s">
        <v>90</v>
      </c>
      <c r="C36" s="1" t="s">
        <v>91</v>
      </c>
      <c r="D36" s="1" t="s">
        <v>20</v>
      </c>
      <c r="E36" s="1" t="s">
        <v>21</v>
      </c>
      <c r="F36" s="1" t="s">
        <v>22</v>
      </c>
      <c r="G36" s="1" t="s">
        <v>22</v>
      </c>
      <c r="H36" s="1" t="s">
        <v>23</v>
      </c>
      <c r="I36" s="1" t="b">
        <v>0</v>
      </c>
      <c r="J36" s="4">
        <v>60.0</v>
      </c>
      <c r="K36" s="4">
        <v>925.25</v>
      </c>
      <c r="L36" s="1" t="s">
        <v>92</v>
      </c>
      <c r="M36" s="1" t="s">
        <v>93</v>
      </c>
      <c r="N36" s="1" t="s">
        <v>94</v>
      </c>
    </row>
    <row r="37" ht="15.75" customHeight="1">
      <c r="B37" s="1" t="s">
        <v>95</v>
      </c>
      <c r="C37" s="1" t="s">
        <v>96</v>
      </c>
      <c r="D37" s="1" t="s">
        <v>20</v>
      </c>
      <c r="E37" s="1" t="s">
        <v>21</v>
      </c>
      <c r="F37" s="1" t="s">
        <v>22</v>
      </c>
      <c r="G37" s="1" t="s">
        <v>22</v>
      </c>
      <c r="H37" s="1" t="s">
        <v>23</v>
      </c>
      <c r="I37" s="1" t="b">
        <v>0</v>
      </c>
      <c r="J37" s="4">
        <v>620.0</v>
      </c>
      <c r="K37" s="4">
        <v>1000.01</v>
      </c>
      <c r="L37" s="1" t="s">
        <v>97</v>
      </c>
      <c r="M37" s="1" t="s">
        <v>98</v>
      </c>
      <c r="N37" s="1" t="s">
        <v>99</v>
      </c>
    </row>
    <row r="38" ht="15.75" customHeight="1">
      <c r="B38" s="1" t="s">
        <v>100</v>
      </c>
      <c r="C38" s="1" t="s">
        <v>101</v>
      </c>
      <c r="D38" s="1" t="s">
        <v>20</v>
      </c>
      <c r="E38" s="1" t="s">
        <v>21</v>
      </c>
      <c r="F38" s="1" t="s">
        <v>22</v>
      </c>
      <c r="G38" s="1" t="s">
        <v>22</v>
      </c>
      <c r="H38" s="1" t="s">
        <v>23</v>
      </c>
      <c r="I38" s="1" t="b">
        <v>0</v>
      </c>
      <c r="J38" s="4">
        <v>10.0</v>
      </c>
      <c r="K38" s="4">
        <v>225.73</v>
      </c>
      <c r="L38" s="1" t="s">
        <v>102</v>
      </c>
      <c r="M38" s="1" t="s">
        <v>103</v>
      </c>
      <c r="N38" s="1" t="s">
        <v>104</v>
      </c>
    </row>
    <row r="39" ht="15.75" customHeight="1">
      <c r="B39" s="1" t="s">
        <v>100</v>
      </c>
      <c r="C39" s="1" t="s">
        <v>101</v>
      </c>
      <c r="D39" s="1" t="s">
        <v>20</v>
      </c>
      <c r="E39" s="1" t="s">
        <v>21</v>
      </c>
      <c r="F39" s="1" t="s">
        <v>22</v>
      </c>
      <c r="G39" s="1" t="s">
        <v>22</v>
      </c>
      <c r="H39" s="1" t="s">
        <v>23</v>
      </c>
      <c r="I39" s="1" t="b">
        <v>0</v>
      </c>
      <c r="J39" s="4">
        <v>1.0</v>
      </c>
      <c r="K39" s="4">
        <v>225.73</v>
      </c>
      <c r="L39" s="1" t="s">
        <v>105</v>
      </c>
      <c r="M39" s="1" t="s">
        <v>103</v>
      </c>
      <c r="N39" s="1" t="s">
        <v>104</v>
      </c>
    </row>
    <row r="40" ht="15.75" customHeight="1">
      <c r="B40" s="1" t="s">
        <v>100</v>
      </c>
      <c r="C40" s="1" t="s">
        <v>101</v>
      </c>
      <c r="D40" s="1" t="s">
        <v>20</v>
      </c>
      <c r="E40" s="1" t="s">
        <v>21</v>
      </c>
      <c r="F40" s="1" t="s">
        <v>22</v>
      </c>
      <c r="G40" s="1" t="s">
        <v>22</v>
      </c>
      <c r="H40" s="1" t="s">
        <v>23</v>
      </c>
      <c r="I40" s="1" t="b">
        <v>0</v>
      </c>
      <c r="J40" s="4">
        <v>68.0</v>
      </c>
      <c r="K40" s="4">
        <v>225.73</v>
      </c>
      <c r="L40" s="1" t="s">
        <v>106</v>
      </c>
      <c r="M40" s="1" t="s">
        <v>103</v>
      </c>
      <c r="N40" s="1" t="s">
        <v>104</v>
      </c>
    </row>
    <row r="41" ht="15.75" customHeight="1">
      <c r="B41" s="1" t="s">
        <v>100</v>
      </c>
      <c r="C41" s="1" t="s">
        <v>101</v>
      </c>
      <c r="D41" s="1" t="s">
        <v>20</v>
      </c>
      <c r="E41" s="1" t="s">
        <v>21</v>
      </c>
      <c r="F41" s="1" t="s">
        <v>22</v>
      </c>
      <c r="G41" s="1" t="s">
        <v>22</v>
      </c>
      <c r="H41" s="1" t="s">
        <v>23</v>
      </c>
      <c r="I41" s="1" t="b">
        <v>0</v>
      </c>
      <c r="J41" s="4">
        <v>7.0</v>
      </c>
      <c r="K41" s="4">
        <v>225.73</v>
      </c>
      <c r="L41" s="1" t="s">
        <v>107</v>
      </c>
      <c r="M41" s="1" t="s">
        <v>103</v>
      </c>
      <c r="N41" s="1" t="s">
        <v>104</v>
      </c>
    </row>
    <row r="42" ht="15.75" customHeight="1">
      <c r="B42" s="1" t="s">
        <v>108</v>
      </c>
      <c r="C42" s="1" t="s">
        <v>109</v>
      </c>
      <c r="D42" s="1" t="s">
        <v>20</v>
      </c>
      <c r="E42" s="1" t="s">
        <v>21</v>
      </c>
      <c r="F42" s="1" t="s">
        <v>22</v>
      </c>
      <c r="G42" s="1" t="s">
        <v>22</v>
      </c>
      <c r="H42" s="1" t="s">
        <v>23</v>
      </c>
      <c r="I42" s="1" t="b">
        <v>0</v>
      </c>
      <c r="J42" s="4">
        <v>1.0</v>
      </c>
      <c r="K42" s="4">
        <v>6129.0</v>
      </c>
      <c r="L42" s="1" t="s">
        <v>110</v>
      </c>
      <c r="M42" s="1" t="s">
        <v>111</v>
      </c>
      <c r="N42" s="1" t="s">
        <v>112</v>
      </c>
    </row>
    <row r="43" ht="15.75" customHeight="1">
      <c r="B43" s="1" t="s">
        <v>108</v>
      </c>
      <c r="C43" s="1" t="s">
        <v>109</v>
      </c>
      <c r="D43" s="1" t="s">
        <v>20</v>
      </c>
      <c r="E43" s="1" t="s">
        <v>21</v>
      </c>
      <c r="F43" s="1" t="s">
        <v>22</v>
      </c>
      <c r="G43" s="1" t="s">
        <v>22</v>
      </c>
      <c r="H43" s="1" t="s">
        <v>23</v>
      </c>
      <c r="I43" s="1" t="b">
        <v>0</v>
      </c>
      <c r="J43" s="4">
        <v>4.0</v>
      </c>
      <c r="K43" s="4">
        <v>6129.0</v>
      </c>
      <c r="L43" s="1" t="s">
        <v>113</v>
      </c>
      <c r="M43" s="1" t="s">
        <v>111</v>
      </c>
      <c r="N43" s="1" t="s">
        <v>112</v>
      </c>
    </row>
    <row r="44" ht="15.75" customHeight="1">
      <c r="B44" s="1" t="s">
        <v>108</v>
      </c>
      <c r="C44" s="1" t="s">
        <v>109</v>
      </c>
      <c r="D44" s="1" t="s">
        <v>20</v>
      </c>
      <c r="E44" s="1" t="s">
        <v>21</v>
      </c>
      <c r="F44" s="1" t="s">
        <v>22</v>
      </c>
      <c r="G44" s="1" t="s">
        <v>22</v>
      </c>
      <c r="H44" s="1" t="s">
        <v>23</v>
      </c>
      <c r="I44" s="1" t="b">
        <v>0</v>
      </c>
      <c r="J44" s="4">
        <v>5.0</v>
      </c>
      <c r="K44" s="4">
        <v>6129.0</v>
      </c>
      <c r="L44" s="1" t="s">
        <v>114</v>
      </c>
      <c r="M44" s="1" t="s">
        <v>111</v>
      </c>
      <c r="N44" s="1" t="s">
        <v>112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7">
      <c r="G7" s="5"/>
    </row>
    <row r="8">
      <c r="G8" s="6" t="s">
        <v>115</v>
      </c>
    </row>
    <row r="9">
      <c r="G9" s="7" t="s">
        <v>116</v>
      </c>
      <c r="H9" s="7" t="s">
        <v>117</v>
      </c>
      <c r="I9" s="8" t="s">
        <v>118</v>
      </c>
      <c r="J9" s="8" t="s">
        <v>14</v>
      </c>
      <c r="K9" s="8" t="s">
        <v>119</v>
      </c>
    </row>
    <row r="10">
      <c r="G10" s="7"/>
    </row>
    <row r="11">
      <c r="G11" s="9" t="s">
        <v>120</v>
      </c>
      <c r="H11" s="10" t="s">
        <v>48</v>
      </c>
      <c r="I11" s="11">
        <v>3.0</v>
      </c>
      <c r="J11" s="12">
        <v>3927.0</v>
      </c>
      <c r="K11" s="12">
        <v>11780.0</v>
      </c>
      <c r="L11" s="13" t="s">
        <v>48</v>
      </c>
      <c r="N11" s="1" t="s">
        <v>121</v>
      </c>
      <c r="O11" s="13">
        <v>3.0</v>
      </c>
      <c r="P11" s="1">
        <v>4119.8</v>
      </c>
      <c r="Q11" s="1">
        <f t="shared" ref="Q11:Q21" si="1">P11*O11</f>
        <v>12359.4</v>
      </c>
    </row>
    <row r="12">
      <c r="G12" s="14" t="s">
        <v>122</v>
      </c>
      <c r="H12" s="15" t="s">
        <v>66</v>
      </c>
      <c r="I12" s="16">
        <v>10.0</v>
      </c>
      <c r="J12" s="17">
        <v>2573.0</v>
      </c>
      <c r="K12" s="17">
        <v>25730.0</v>
      </c>
      <c r="L12" s="13" t="s">
        <v>66</v>
      </c>
      <c r="N12" s="1" t="s">
        <v>123</v>
      </c>
      <c r="O12" s="13">
        <v>10.0</v>
      </c>
      <c r="P12" s="1">
        <v>2662.2</v>
      </c>
      <c r="Q12" s="1">
        <f t="shared" si="1"/>
        <v>26622</v>
      </c>
    </row>
    <row r="13">
      <c r="G13" s="9" t="s">
        <v>124</v>
      </c>
      <c r="H13" s="10" t="s">
        <v>72</v>
      </c>
      <c r="I13" s="11">
        <v>35.0</v>
      </c>
      <c r="J13" s="11">
        <v>238.0</v>
      </c>
      <c r="K13" s="12">
        <v>8321.0</v>
      </c>
      <c r="L13" s="13" t="s">
        <v>72</v>
      </c>
      <c r="N13" s="1" t="s">
        <v>125</v>
      </c>
      <c r="O13" s="13">
        <v>35.0</v>
      </c>
      <c r="P13" s="1">
        <v>241.27</v>
      </c>
      <c r="Q13" s="1">
        <f t="shared" si="1"/>
        <v>8444.45</v>
      </c>
    </row>
    <row r="14">
      <c r="G14" s="14" t="s">
        <v>126</v>
      </c>
      <c r="H14" s="15" t="s">
        <v>127</v>
      </c>
      <c r="I14" s="16">
        <v>3.0</v>
      </c>
      <c r="J14" s="17">
        <v>3895.0</v>
      </c>
      <c r="K14" s="17">
        <v>11685.0</v>
      </c>
      <c r="L14" s="13" t="s">
        <v>127</v>
      </c>
      <c r="N14" s="1" t="s">
        <v>128</v>
      </c>
      <c r="O14" s="13">
        <v>3.0</v>
      </c>
      <c r="P14" s="1">
        <v>4083.3</v>
      </c>
      <c r="Q14" s="1">
        <f t="shared" si="1"/>
        <v>12249.9</v>
      </c>
    </row>
    <row r="15">
      <c r="G15" s="9" t="s">
        <v>129</v>
      </c>
      <c r="H15" s="10" t="s">
        <v>130</v>
      </c>
      <c r="I15" s="11">
        <v>20.0</v>
      </c>
      <c r="J15" s="11">
        <v>427.0</v>
      </c>
      <c r="K15" s="12">
        <v>8539.0</v>
      </c>
      <c r="L15" s="13" t="s">
        <v>130</v>
      </c>
      <c r="N15" s="1" t="s">
        <v>131</v>
      </c>
      <c r="O15" s="13">
        <v>20.0</v>
      </c>
      <c r="P15" s="1">
        <v>431.35</v>
      </c>
      <c r="Q15" s="1">
        <f t="shared" si="1"/>
        <v>8627</v>
      </c>
    </row>
    <row r="16">
      <c r="G16" s="14" t="s">
        <v>132</v>
      </c>
      <c r="H16" s="15" t="s">
        <v>60</v>
      </c>
      <c r="I16" s="16">
        <v>100.0</v>
      </c>
      <c r="J16" s="16">
        <v>239.0</v>
      </c>
      <c r="K16" s="17">
        <v>23934.0</v>
      </c>
      <c r="L16" s="13" t="s">
        <v>60</v>
      </c>
      <c r="N16" s="1" t="s">
        <v>133</v>
      </c>
      <c r="O16" s="13">
        <v>100.0</v>
      </c>
      <c r="P16" s="1">
        <v>252.7</v>
      </c>
      <c r="Q16" s="1">
        <f t="shared" si="1"/>
        <v>25270</v>
      </c>
    </row>
    <row r="17">
      <c r="G17" s="9" t="s">
        <v>134</v>
      </c>
      <c r="H17" s="10" t="s">
        <v>38</v>
      </c>
      <c r="I17" s="11">
        <v>3.0</v>
      </c>
      <c r="J17" s="12">
        <v>2923.0</v>
      </c>
      <c r="K17" s="12">
        <v>8769.0</v>
      </c>
      <c r="L17" s="13" t="s">
        <v>38</v>
      </c>
      <c r="N17" s="1" t="s">
        <v>135</v>
      </c>
      <c r="O17" s="13">
        <v>3.0</v>
      </c>
      <c r="P17" s="1">
        <v>3112.2</v>
      </c>
      <c r="Q17" s="1">
        <f t="shared" si="1"/>
        <v>9336.6</v>
      </c>
    </row>
    <row r="18">
      <c r="G18" s="14" t="s">
        <v>136</v>
      </c>
      <c r="H18" s="15" t="s">
        <v>28</v>
      </c>
      <c r="I18" s="16">
        <v>36.0</v>
      </c>
      <c r="J18" s="16">
        <v>617.0</v>
      </c>
      <c r="K18" s="17">
        <v>22226.0</v>
      </c>
      <c r="L18" s="13" t="s">
        <v>28</v>
      </c>
      <c r="N18" s="1" t="s">
        <v>137</v>
      </c>
      <c r="O18" s="13">
        <v>36.0</v>
      </c>
      <c r="P18" s="1">
        <v>631.5</v>
      </c>
      <c r="Q18" s="1">
        <f t="shared" si="1"/>
        <v>22734</v>
      </c>
    </row>
    <row r="19">
      <c r="G19" s="9" t="s">
        <v>138</v>
      </c>
      <c r="H19" s="10" t="s">
        <v>18</v>
      </c>
      <c r="I19" s="11">
        <v>22.0</v>
      </c>
      <c r="J19" s="11">
        <v>986.0</v>
      </c>
      <c r="K19" s="12">
        <v>21690.0</v>
      </c>
      <c r="L19" s="13" t="s">
        <v>18</v>
      </c>
      <c r="N19" s="1" t="s">
        <v>139</v>
      </c>
      <c r="O19" s="13">
        <v>22.0</v>
      </c>
      <c r="P19" s="1">
        <v>1047.7</v>
      </c>
      <c r="Q19" s="1">
        <f t="shared" si="1"/>
        <v>23049.4</v>
      </c>
    </row>
    <row r="20">
      <c r="G20" s="14" t="s">
        <v>140</v>
      </c>
      <c r="H20" s="15" t="s">
        <v>33</v>
      </c>
      <c r="I20" s="16">
        <v>10.0</v>
      </c>
      <c r="J20" s="17">
        <v>1392.0</v>
      </c>
      <c r="K20" s="17">
        <v>13921.0</v>
      </c>
      <c r="L20" s="13" t="s">
        <v>33</v>
      </c>
      <c r="N20" s="1" t="s">
        <v>141</v>
      </c>
      <c r="O20" s="13">
        <v>10.0</v>
      </c>
      <c r="P20" s="1">
        <v>1410.8</v>
      </c>
      <c r="Q20" s="1">
        <f t="shared" si="1"/>
        <v>14108</v>
      </c>
    </row>
    <row r="21">
      <c r="G21" s="9" t="s">
        <v>142</v>
      </c>
      <c r="H21" s="10" t="s">
        <v>143</v>
      </c>
      <c r="I21" s="11">
        <v>50.0</v>
      </c>
      <c r="J21" s="11">
        <v>129.0</v>
      </c>
      <c r="K21" s="12">
        <v>6457.0</v>
      </c>
      <c r="L21" s="13" t="s">
        <v>143</v>
      </c>
      <c r="N21" s="1" t="s">
        <v>144</v>
      </c>
      <c r="O21" s="13">
        <v>50.0</v>
      </c>
      <c r="P21" s="1">
        <v>134.41</v>
      </c>
      <c r="Q21" s="1">
        <f t="shared" si="1"/>
        <v>6720.5</v>
      </c>
    </row>
    <row r="22">
      <c r="G22" s="14" t="s">
        <v>145</v>
      </c>
      <c r="H22" s="15" t="s">
        <v>146</v>
      </c>
      <c r="I22" s="16">
        <v>14.0</v>
      </c>
      <c r="J22" s="16">
        <v>792.0</v>
      </c>
      <c r="K22" s="17">
        <v>11084.0</v>
      </c>
      <c r="L22" s="13" t="s">
        <v>146</v>
      </c>
    </row>
    <row r="23">
      <c r="G23" s="9" t="s">
        <v>147</v>
      </c>
      <c r="H23" s="10" t="s">
        <v>90</v>
      </c>
      <c r="I23" s="11">
        <v>10.0</v>
      </c>
      <c r="J23" s="11">
        <v>905.0</v>
      </c>
      <c r="K23" s="12">
        <v>9052.0</v>
      </c>
      <c r="L23" s="13" t="s">
        <v>90</v>
      </c>
    </row>
    <row r="24">
      <c r="G24" s="14" t="s">
        <v>148</v>
      </c>
      <c r="H24" s="15" t="s">
        <v>149</v>
      </c>
      <c r="I24" s="16">
        <v>20.0</v>
      </c>
      <c r="J24" s="16">
        <v>368.0</v>
      </c>
      <c r="K24" s="17">
        <v>7356.0</v>
      </c>
      <c r="L24" s="13" t="s">
        <v>149</v>
      </c>
      <c r="N24" s="1" t="s">
        <v>150</v>
      </c>
      <c r="O24" s="13">
        <v>20.0</v>
      </c>
      <c r="P24" s="1">
        <v>379.15</v>
      </c>
      <c r="Q24" s="1">
        <f t="shared" ref="Q24:Q25" si="2">P24*O24</f>
        <v>7583</v>
      </c>
    </row>
    <row r="25">
      <c r="G25" s="9" t="s">
        <v>151</v>
      </c>
      <c r="H25" s="10" t="s">
        <v>152</v>
      </c>
      <c r="I25" s="11">
        <v>10.0</v>
      </c>
      <c r="J25" s="11">
        <v>896.0</v>
      </c>
      <c r="K25" s="12">
        <v>8964.0</v>
      </c>
      <c r="L25" s="13" t="s">
        <v>152</v>
      </c>
      <c r="N25" s="1" t="s">
        <v>153</v>
      </c>
      <c r="O25" s="13">
        <v>10.0</v>
      </c>
      <c r="P25" s="1">
        <v>866.1</v>
      </c>
      <c r="Q25" s="1">
        <f t="shared" si="2"/>
        <v>8661</v>
      </c>
    </row>
    <row r="26">
      <c r="G26" s="18" t="s">
        <v>154</v>
      </c>
      <c r="H26" s="19"/>
      <c r="I26" s="19"/>
      <c r="J26" s="20"/>
      <c r="K26" s="21">
        <v>199508.0</v>
      </c>
    </row>
    <row r="27">
      <c r="G27" s="22" t="s">
        <v>155</v>
      </c>
      <c r="H27" s="19"/>
      <c r="I27" s="19"/>
      <c r="J27" s="20"/>
      <c r="K27" s="23">
        <v>199508.0</v>
      </c>
    </row>
    <row r="28">
      <c r="G28" s="5" t="s">
        <v>156</v>
      </c>
    </row>
    <row r="29">
      <c r="G29" s="5" t="s">
        <v>157</v>
      </c>
    </row>
    <row r="30">
      <c r="G30" s="24"/>
    </row>
    <row r="31">
      <c r="G31" s="25" t="s">
        <v>158</v>
      </c>
    </row>
    <row r="32">
      <c r="G32" s="26" t="s">
        <v>159</v>
      </c>
    </row>
    <row r="33">
      <c r="G33" s="27" t="s">
        <v>160</v>
      </c>
    </row>
    <row r="34">
      <c r="G34" s="28" t="s">
        <v>161</v>
      </c>
    </row>
    <row r="35">
      <c r="G35" s="29" t="s">
        <v>162</v>
      </c>
    </row>
    <row r="36">
      <c r="G36" s="29" t="s">
        <v>163</v>
      </c>
    </row>
    <row r="37">
      <c r="G37" s="30" t="s">
        <v>159</v>
      </c>
    </row>
    <row r="38">
      <c r="G38" s="31" t="s">
        <v>164</v>
      </c>
    </row>
    <row r="39">
      <c r="G39" s="32" t="s">
        <v>165</v>
      </c>
    </row>
    <row r="40">
      <c r="G40" s="33" t="s">
        <v>166</v>
      </c>
    </row>
    <row r="41">
      <c r="G41" s="34" t="s">
        <v>167</v>
      </c>
    </row>
  </sheetData>
  <mergeCells count="3">
    <mergeCell ref="G10:K10"/>
    <mergeCell ref="G26:J26"/>
    <mergeCell ref="G27:J2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