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dings (12)" sheetId="1" r:id="rId5"/>
    <sheet state="visible" name="Copy of holdings (12)" sheetId="2" r:id="rId6"/>
  </sheets>
  <definedNames>
    <definedName hidden="1" localSheetId="1" name="_xlnm._FilterDatabase">'Copy of holdings (12)'!$A$1:$Z$42</definedName>
  </definedNames>
  <calcPr/>
</workbook>
</file>

<file path=xl/sharedStrings.xml><?xml version="1.0" encoding="utf-8"?>
<sst xmlns="http://schemas.openxmlformats.org/spreadsheetml/2006/main" count="150" uniqueCount="50">
  <si>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</si>
  <si>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</si>
  <si>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</si>
  <si>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</si>
  <si>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</si>
  <si>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</si>
  <si>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</si>
  <si>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</si>
  <si>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</si>
  <si>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APLAPOLLO</t>
  </si>
  <si>
    <t>ASIANPAINT</t>
  </si>
  <si>
    <t>ATHERENERG</t>
  </si>
  <si>
    <t>AUBANK</t>
  </si>
  <si>
    <t>AUROPHARMA</t>
  </si>
  <si>
    <t>BAJFINANCE</t>
  </si>
  <si>
    <t>BLUESTONE</t>
  </si>
  <si>
    <t>DABUR</t>
  </si>
  <si>
    <t>DIVISLAB</t>
  </si>
  <si>
    <t>DMART</t>
  </si>
  <si>
    <t>ETERNAL</t>
  </si>
  <si>
    <t>HDFCAMC</t>
  </si>
  <si>
    <t>HDFCBANK</t>
  </si>
  <si>
    <t>HDFCLIFE</t>
  </si>
  <si>
    <t>HNGSNGBEES</t>
  </si>
  <si>
    <t>ICICIGI</t>
  </si>
  <si>
    <t>IDFCFIRSTB</t>
  </si>
  <si>
    <t>IEX</t>
  </si>
  <si>
    <t>INDIAMART</t>
  </si>
  <si>
    <t>INFY</t>
  </si>
  <si>
    <t>JIOFIN</t>
  </si>
  <si>
    <t>KOTAKBANK</t>
  </si>
  <si>
    <t>LALPATHLAB</t>
  </si>
  <si>
    <t>LT</t>
  </si>
  <si>
    <t>LTM</t>
  </si>
  <si>
    <t>MARICO</t>
  </si>
  <si>
    <t>MARUTI</t>
  </si>
  <si>
    <t>MOTHERSON</t>
  </si>
  <si>
    <t>NAUKRI</t>
  </si>
  <si>
    <t>NESTLEIND</t>
  </si>
  <si>
    <t>PAYTM</t>
  </si>
  <si>
    <t>PIDILITIND</t>
  </si>
  <si>
    <t>PIIND</t>
  </si>
  <si>
    <t>POLICYBZR</t>
  </si>
  <si>
    <t>REDINGTON</t>
  </si>
  <si>
    <t>RELIANCE</t>
  </si>
  <si>
    <t>SBICARD</t>
  </si>
  <si>
    <t>SHREECEM</t>
  </si>
  <si>
    <t>TCS</t>
  </si>
  <si>
    <t>TITAN</t>
  </si>
  <si>
    <t>VOLTAMP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</si>
</sst>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70.0</v>
      </c>
      <c r="C2" s="1">
        <v>1676.82</v>
      </c>
      <c r="D2" s="1">
        <v>1999.4</v>
      </c>
      <c r="E2" s="1">
        <v>117377.5</v>
      </c>
      <c r="F2" s="1">
        <v>139958.0</v>
      </c>
      <c r="G2" s="1">
        <v>22580.5</v>
      </c>
      <c r="H2" s="1">
        <v>19.24</v>
      </c>
      <c r="I2" s="1">
        <v>0.12</v>
      </c>
    </row>
    <row r="3">
      <c r="A3" s="1" t="s">
        <v>10</v>
      </c>
      <c r="B3" s="1">
        <v>63.0</v>
      </c>
      <c r="C3" s="1">
        <v>2465.94</v>
      </c>
      <c r="D3" s="1">
        <v>2729.5</v>
      </c>
      <c r="E3" s="1">
        <v>155354.5</v>
      </c>
      <c r="F3" s="1">
        <v>171958.5</v>
      </c>
      <c r="G3" s="1">
        <v>16604.0</v>
      </c>
      <c r="H3" s="1">
        <v>10.69</v>
      </c>
      <c r="I3" s="1">
        <v>-0.38</v>
      </c>
    </row>
    <row r="4">
      <c r="A4" s="1" t="s">
        <v>11</v>
      </c>
      <c r="B4" s="1">
        <v>34.0</v>
      </c>
      <c r="C4" s="1">
        <v>1077.09</v>
      </c>
      <c r="D4" s="1">
        <v>1554.7</v>
      </c>
      <c r="E4" s="1">
        <v>36621.2</v>
      </c>
      <c r="F4" s="1">
        <v>52859.8</v>
      </c>
      <c r="G4" s="1">
        <v>16238.6</v>
      </c>
      <c r="H4" s="1">
        <v>44.34</v>
      </c>
      <c r="I4" s="1">
        <v>-0.94</v>
      </c>
    </row>
    <row r="5">
      <c r="A5" s="1" t="s">
        <v>12</v>
      </c>
      <c r="B5" s="1">
        <v>166.0</v>
      </c>
      <c r="C5" s="1">
        <v>655.05</v>
      </c>
      <c r="D5" s="1">
        <v>1086.3</v>
      </c>
      <c r="E5" s="1">
        <v>108738.85</v>
      </c>
      <c r="F5" s="1">
        <v>180325.8</v>
      </c>
      <c r="G5" s="1">
        <v>71586.95</v>
      </c>
      <c r="H5" s="1">
        <v>65.83</v>
      </c>
      <c r="I5" s="1">
        <v>-0.47</v>
      </c>
    </row>
    <row r="6">
      <c r="A6" s="1" t="s">
        <v>13</v>
      </c>
      <c r="B6" s="1">
        <v>165.0</v>
      </c>
      <c r="C6" s="1">
        <v>1222.86</v>
      </c>
      <c r="D6" s="1">
        <v>1663.4</v>
      </c>
      <c r="E6" s="1">
        <v>201772.7</v>
      </c>
      <c r="F6" s="1">
        <v>274461.0</v>
      </c>
      <c r="G6" s="1">
        <v>72688.3</v>
      </c>
      <c r="H6" s="1">
        <v>36.02</v>
      </c>
      <c r="I6" s="1">
        <v>-0.22</v>
      </c>
    </row>
    <row r="7">
      <c r="A7" s="1" t="s">
        <v>14</v>
      </c>
      <c r="B7" s="1">
        <v>330.0</v>
      </c>
      <c r="C7" s="1">
        <v>777.52</v>
      </c>
      <c r="D7" s="1">
        <v>1088.5</v>
      </c>
      <c r="E7" s="1">
        <v>256581.25</v>
      </c>
      <c r="F7" s="1">
        <v>359205.0</v>
      </c>
      <c r="G7" s="1">
        <v>102623.75</v>
      </c>
      <c r="H7" s="1">
        <v>40.0</v>
      </c>
      <c r="I7" s="1">
        <v>-0.52</v>
      </c>
    </row>
    <row r="8">
      <c r="A8" s="1" t="s">
        <v>15</v>
      </c>
      <c r="B8" s="1">
        <v>3505.0</v>
      </c>
      <c r="C8" s="1">
        <v>516.76</v>
      </c>
      <c r="D8" s="1">
        <v>917.15</v>
      </c>
      <c r="E8" s="1">
        <v>1811257.95</v>
      </c>
      <c r="F8" s="1">
        <v>3214610.75</v>
      </c>
      <c r="G8" s="1">
        <v>1403352.8</v>
      </c>
      <c r="H8" s="1">
        <v>77.48</v>
      </c>
      <c r="I8" s="1">
        <v>2.53</v>
      </c>
    </row>
    <row r="9">
      <c r="A9" s="1" t="s">
        <v>16</v>
      </c>
      <c r="B9" s="1">
        <v>500.0</v>
      </c>
      <c r="C9" s="1">
        <v>580.0</v>
      </c>
      <c r="D9" s="1">
        <v>407.5</v>
      </c>
      <c r="E9" s="1">
        <v>290000.0</v>
      </c>
      <c r="F9" s="1">
        <v>203750.0</v>
      </c>
      <c r="G9" s="1">
        <v>-86250.0</v>
      </c>
      <c r="H9" s="1">
        <v>-29.74</v>
      </c>
      <c r="I9" s="1">
        <v>-0.91</v>
      </c>
    </row>
    <row r="10">
      <c r="A10" s="1" t="s">
        <v>17</v>
      </c>
      <c r="B10" s="1">
        <v>30.0</v>
      </c>
      <c r="C10" s="1">
        <v>6066.12</v>
      </c>
      <c r="D10" s="1">
        <v>8502.5</v>
      </c>
      <c r="E10" s="1">
        <v>181983.5</v>
      </c>
      <c r="F10" s="1">
        <v>255075.0</v>
      </c>
      <c r="G10" s="1">
        <v>73091.5</v>
      </c>
      <c r="H10" s="1">
        <v>40.16</v>
      </c>
      <c r="I10" s="1">
        <v>-1.13</v>
      </c>
    </row>
    <row r="11">
      <c r="A11" s="1" t="s">
        <v>18</v>
      </c>
      <c r="B11" s="1">
        <v>9.0</v>
      </c>
      <c r="C11" s="1">
        <v>3758.02</v>
      </c>
      <c r="D11" s="1">
        <v>4048.1</v>
      </c>
      <c r="E11" s="1">
        <v>33822.2</v>
      </c>
      <c r="F11" s="1">
        <v>36432.9</v>
      </c>
      <c r="G11" s="1">
        <v>2610.7</v>
      </c>
      <c r="H11" s="1">
        <v>7.72</v>
      </c>
      <c r="I11" s="1">
        <v>0.2</v>
      </c>
    </row>
    <row r="12">
      <c r="A12" s="1" t="s">
        <v>19</v>
      </c>
      <c r="B12" s="1">
        <v>468.0</v>
      </c>
      <c r="C12" s="1">
        <v>252.84</v>
      </c>
      <c r="D12" s="1">
        <v>314.05</v>
      </c>
      <c r="E12" s="1">
        <v>118330.07</v>
      </c>
      <c r="F12" s="1">
        <v>146975.4</v>
      </c>
      <c r="G12" s="1">
        <v>28645.33</v>
      </c>
      <c r="H12" s="1">
        <v>24.21</v>
      </c>
      <c r="I12" s="1">
        <v>0.0</v>
      </c>
    </row>
    <row r="13">
      <c r="A13" s="1" t="s">
        <v>20</v>
      </c>
      <c r="B13" s="1">
        <v>68.0</v>
      </c>
      <c r="C13" s="1">
        <v>2255.43</v>
      </c>
      <c r="D13" s="1">
        <v>2481.0</v>
      </c>
      <c r="E13" s="1">
        <v>153369.2</v>
      </c>
      <c r="F13" s="1">
        <v>168708.0</v>
      </c>
      <c r="G13" s="1">
        <v>15338.8</v>
      </c>
      <c r="H13" s="1">
        <v>10.0</v>
      </c>
      <c r="I13" s="1">
        <v>-0.72</v>
      </c>
    </row>
    <row r="14">
      <c r="A14" s="1" t="s">
        <v>21</v>
      </c>
      <c r="B14" s="1">
        <v>654.0</v>
      </c>
      <c r="C14" s="1">
        <v>901.52</v>
      </c>
      <c r="D14" s="1">
        <v>725.9</v>
      </c>
      <c r="E14" s="1">
        <v>589596.05</v>
      </c>
      <c r="F14" s="1">
        <v>474738.6</v>
      </c>
      <c r="G14" s="1">
        <v>-114857.45</v>
      </c>
      <c r="H14" s="1">
        <v>-19.48</v>
      </c>
      <c r="I14" s="1">
        <v>-0.43</v>
      </c>
    </row>
    <row r="15">
      <c r="A15" s="1" t="s">
        <v>22</v>
      </c>
      <c r="B15" s="1">
        <v>260.0</v>
      </c>
      <c r="C15" s="1">
        <v>687.84</v>
      </c>
      <c r="D15" s="1">
        <v>536.0</v>
      </c>
      <c r="E15" s="1">
        <v>178837.85</v>
      </c>
      <c r="F15" s="1">
        <v>139360.0</v>
      </c>
      <c r="G15" s="1">
        <v>-39477.85</v>
      </c>
      <c r="H15" s="1">
        <v>-22.07</v>
      </c>
      <c r="I15" s="1">
        <v>-0.19</v>
      </c>
    </row>
    <row r="16">
      <c r="A16" s="1" t="s">
        <v>23</v>
      </c>
      <c r="B16" s="1">
        <v>695.0</v>
      </c>
      <c r="C16" s="1">
        <v>408.73</v>
      </c>
      <c r="D16" s="1">
        <v>480.32</v>
      </c>
      <c r="E16" s="1">
        <v>284070.0</v>
      </c>
      <c r="F16" s="1">
        <v>333822.4</v>
      </c>
      <c r="G16" s="1">
        <v>49752.4</v>
      </c>
      <c r="H16" s="1">
        <v>17.51</v>
      </c>
      <c r="I16" s="1">
        <v>0.0</v>
      </c>
    </row>
    <row r="17">
      <c r="A17" s="1" t="s">
        <v>24</v>
      </c>
      <c r="B17" s="1">
        <v>90.0</v>
      </c>
      <c r="C17" s="1">
        <v>1854.98</v>
      </c>
      <c r="D17" s="1">
        <v>1631.8</v>
      </c>
      <c r="E17" s="1">
        <v>166948.1</v>
      </c>
      <c r="F17" s="1">
        <v>146862.0</v>
      </c>
      <c r="G17" s="1">
        <v>-20086.1</v>
      </c>
      <c r="H17" s="1">
        <v>-12.03</v>
      </c>
      <c r="I17" s="1">
        <v>-0.2</v>
      </c>
    </row>
    <row r="18">
      <c r="A18" s="1" t="s">
        <v>25</v>
      </c>
      <c r="B18" s="1">
        <v>1750.0</v>
      </c>
      <c r="C18" s="1">
        <v>82.52</v>
      </c>
      <c r="D18" s="1">
        <v>85.82</v>
      </c>
      <c r="E18" s="1">
        <v>144413.48</v>
      </c>
      <c r="F18" s="1">
        <v>150185.0</v>
      </c>
      <c r="G18" s="1">
        <v>5771.52</v>
      </c>
      <c r="H18" s="1">
        <v>4.0</v>
      </c>
      <c r="I18" s="1">
        <v>0.02</v>
      </c>
    </row>
    <row r="19">
      <c r="A19" s="1" t="s">
        <v>26</v>
      </c>
      <c r="B19" s="1">
        <v>1082.0</v>
      </c>
      <c r="C19" s="1">
        <v>155.45</v>
      </c>
      <c r="D19" s="1">
        <v>125.5</v>
      </c>
      <c r="E19" s="1">
        <v>168200.42</v>
      </c>
      <c r="F19" s="1">
        <v>135791.0</v>
      </c>
      <c r="G19" s="1">
        <v>-32409.42</v>
      </c>
      <c r="H19" s="1">
        <v>-19.27</v>
      </c>
      <c r="I19" s="1">
        <v>-0.71</v>
      </c>
    </row>
    <row r="20">
      <c r="A20" s="1" t="s">
        <v>27</v>
      </c>
      <c r="B20" s="1">
        <v>26.0</v>
      </c>
      <c r="C20" s="1">
        <v>2200.45</v>
      </c>
      <c r="D20" s="1">
        <v>1798.2</v>
      </c>
      <c r="E20" s="1">
        <v>57211.8</v>
      </c>
      <c r="F20" s="1">
        <v>46753.2</v>
      </c>
      <c r="G20" s="1">
        <v>-10458.6</v>
      </c>
      <c r="H20" s="1">
        <v>-18.28</v>
      </c>
      <c r="I20" s="1">
        <v>0.76</v>
      </c>
    </row>
    <row r="21">
      <c r="A21" s="1" t="s">
        <v>28</v>
      </c>
      <c r="B21" s="1">
        <v>225.0</v>
      </c>
      <c r="C21" s="1">
        <v>1569.6</v>
      </c>
      <c r="D21" s="1">
        <v>1165.2</v>
      </c>
      <c r="E21" s="1">
        <v>353160.5</v>
      </c>
      <c r="F21" s="1">
        <v>262170.0</v>
      </c>
      <c r="G21" s="1">
        <v>-90990.5</v>
      </c>
      <c r="H21" s="1">
        <v>-25.76</v>
      </c>
      <c r="I21" s="1">
        <v>-0.93</v>
      </c>
    </row>
    <row r="22">
      <c r="A22" s="1" t="s">
        <v>29</v>
      </c>
      <c r="B22" s="1">
        <v>494.0</v>
      </c>
      <c r="C22" s="1">
        <v>270.94</v>
      </c>
      <c r="D22" s="1">
        <v>261.75</v>
      </c>
      <c r="E22" s="1">
        <v>133845.45</v>
      </c>
      <c r="F22" s="1">
        <v>129304.5</v>
      </c>
      <c r="G22" s="1">
        <v>-4540.95</v>
      </c>
      <c r="H22" s="1">
        <v>-3.39</v>
      </c>
      <c r="I22" s="1">
        <v>2.23</v>
      </c>
    </row>
    <row r="23">
      <c r="A23" s="1" t="s">
        <v>30</v>
      </c>
      <c r="B23" s="1">
        <v>755.0</v>
      </c>
      <c r="C23" s="1">
        <v>374.69</v>
      </c>
      <c r="D23" s="1">
        <v>391.3</v>
      </c>
      <c r="E23" s="1">
        <v>282891.75</v>
      </c>
      <c r="F23" s="1">
        <v>295431.5</v>
      </c>
      <c r="G23" s="1">
        <v>12539.75</v>
      </c>
      <c r="H23" s="1">
        <v>4.43</v>
      </c>
      <c r="I23" s="1">
        <v>-0.24</v>
      </c>
    </row>
    <row r="24">
      <c r="A24" s="1" t="s">
        <v>31</v>
      </c>
      <c r="B24" s="1">
        <v>142.0</v>
      </c>
      <c r="C24" s="1">
        <v>1517.05</v>
      </c>
      <c r="D24" s="1">
        <v>1948.1</v>
      </c>
      <c r="E24" s="1">
        <v>215421.6</v>
      </c>
      <c r="F24" s="1">
        <v>276630.2</v>
      </c>
      <c r="G24" s="1">
        <v>61208.6</v>
      </c>
      <c r="H24" s="1">
        <v>28.41</v>
      </c>
      <c r="I24" s="1">
        <v>-0.27</v>
      </c>
    </row>
    <row r="25">
      <c r="A25" s="1" t="s">
        <v>32</v>
      </c>
      <c r="B25" s="1">
        <v>60.0</v>
      </c>
      <c r="C25" s="1">
        <v>3765.51</v>
      </c>
      <c r="D25" s="1">
        <v>4022.1</v>
      </c>
      <c r="E25" s="1">
        <v>225930.8</v>
      </c>
      <c r="F25" s="1">
        <v>241326.0</v>
      </c>
      <c r="G25" s="1">
        <v>15395.2</v>
      </c>
      <c r="H25" s="1">
        <v>6.81</v>
      </c>
      <c r="I25" s="1">
        <v>0.05</v>
      </c>
    </row>
    <row r="26">
      <c r="A26" s="1" t="s">
        <v>33</v>
      </c>
      <c r="B26" s="1">
        <v>28.0</v>
      </c>
      <c r="C26" s="1">
        <v>5679.97</v>
      </c>
      <c r="D26" s="1">
        <v>4719.7</v>
      </c>
      <c r="E26" s="1">
        <v>159039.25</v>
      </c>
      <c r="F26" s="1">
        <v>132151.6</v>
      </c>
      <c r="G26" s="1">
        <v>-26887.65</v>
      </c>
      <c r="H26" s="1">
        <v>-16.91</v>
      </c>
      <c r="I26" s="1">
        <v>-0.89</v>
      </c>
    </row>
    <row r="27">
      <c r="A27" s="1" t="s">
        <v>34</v>
      </c>
      <c r="B27" s="1">
        <v>242.0</v>
      </c>
      <c r="C27" s="1">
        <v>622.32</v>
      </c>
      <c r="D27" s="1">
        <v>853.75</v>
      </c>
      <c r="E27" s="1">
        <v>150602.4</v>
      </c>
      <c r="F27" s="1">
        <v>206607.5</v>
      </c>
      <c r="G27" s="1">
        <v>56005.1</v>
      </c>
      <c r="H27" s="1">
        <v>37.19</v>
      </c>
      <c r="I27" s="1">
        <v>-0.15</v>
      </c>
    </row>
    <row r="28">
      <c r="A28" s="1" t="s">
        <v>35</v>
      </c>
      <c r="B28" s="1">
        <v>15.0</v>
      </c>
      <c r="C28" s="1">
        <v>15327.0</v>
      </c>
      <c r="D28" s="1">
        <v>13910.05</v>
      </c>
      <c r="E28" s="1">
        <v>229905.0</v>
      </c>
      <c r="F28" s="1">
        <v>208650.75</v>
      </c>
      <c r="G28" s="1">
        <v>-21254.25</v>
      </c>
      <c r="H28" s="1">
        <v>-9.24</v>
      </c>
      <c r="I28" s="1">
        <v>0.0</v>
      </c>
    </row>
    <row r="29">
      <c r="A29" s="1" t="s">
        <v>36</v>
      </c>
      <c r="B29" s="1">
        <v>877.0</v>
      </c>
      <c r="C29" s="1">
        <v>105.83</v>
      </c>
      <c r="D29" s="1">
        <v>170.67</v>
      </c>
      <c r="E29" s="1">
        <v>92811.0</v>
      </c>
      <c r="F29" s="1">
        <v>149677.59</v>
      </c>
      <c r="G29" s="1">
        <v>56866.59</v>
      </c>
      <c r="H29" s="1">
        <v>61.27</v>
      </c>
      <c r="I29" s="1">
        <v>0.69</v>
      </c>
    </row>
    <row r="30">
      <c r="A30" s="1" t="s">
        <v>37</v>
      </c>
      <c r="B30" s="1">
        <v>334.0</v>
      </c>
      <c r="C30" s="1">
        <v>1352.92</v>
      </c>
      <c r="D30" s="1">
        <v>1345.1</v>
      </c>
      <c r="E30" s="1">
        <v>451874.1</v>
      </c>
      <c r="F30" s="1">
        <v>449263.4</v>
      </c>
      <c r="G30" s="1">
        <v>-2610.7</v>
      </c>
      <c r="H30" s="1">
        <v>-0.58</v>
      </c>
      <c r="I30" s="1">
        <v>0.01</v>
      </c>
    </row>
    <row r="31">
      <c r="A31" s="1" t="s">
        <v>38</v>
      </c>
      <c r="B31" s="1">
        <v>48.0</v>
      </c>
      <c r="C31" s="1">
        <v>652.17</v>
      </c>
      <c r="D31" s="1">
        <v>1507.5</v>
      </c>
      <c r="E31" s="1">
        <v>31304.0</v>
      </c>
      <c r="F31" s="1">
        <v>72360.0</v>
      </c>
      <c r="G31" s="1">
        <v>41056.0</v>
      </c>
      <c r="H31" s="1">
        <v>131.15</v>
      </c>
      <c r="I31" s="1">
        <v>0.03</v>
      </c>
    </row>
    <row r="32">
      <c r="A32" s="1" t="s">
        <v>39</v>
      </c>
      <c r="B32" s="1">
        <v>191.0</v>
      </c>
      <c r="C32" s="1">
        <v>951.89</v>
      </c>
      <c r="D32" s="1">
        <v>1605.9</v>
      </c>
      <c r="E32" s="1">
        <v>181811.25</v>
      </c>
      <c r="F32" s="1">
        <v>306726.9</v>
      </c>
      <c r="G32" s="1">
        <v>124915.65</v>
      </c>
      <c r="H32" s="1">
        <v>68.71</v>
      </c>
      <c r="I32" s="1">
        <v>-0.25</v>
      </c>
    </row>
    <row r="33">
      <c r="A33" s="1" t="s">
        <v>40</v>
      </c>
      <c r="B33" s="1">
        <v>200.0</v>
      </c>
      <c r="C33" s="1">
        <v>1519.76</v>
      </c>
      <c r="D33" s="1">
        <v>1698.8</v>
      </c>
      <c r="E33" s="1">
        <v>303951.7</v>
      </c>
      <c r="F33" s="1">
        <v>339760.0</v>
      </c>
      <c r="G33" s="1">
        <v>35808.3</v>
      </c>
      <c r="H33" s="1">
        <v>11.78</v>
      </c>
      <c r="I33" s="1">
        <v>-0.16</v>
      </c>
    </row>
    <row r="34">
      <c r="A34" s="1" t="s">
        <v>41</v>
      </c>
      <c r="B34" s="1">
        <v>53.0</v>
      </c>
      <c r="C34" s="1">
        <v>3543.06</v>
      </c>
      <c r="D34" s="1">
        <v>2487.55</v>
      </c>
      <c r="E34" s="1">
        <v>187782.2</v>
      </c>
      <c r="F34" s="1">
        <v>131840.15</v>
      </c>
      <c r="G34" s="1">
        <v>-55942.05</v>
      </c>
      <c r="H34" s="1">
        <v>-29.79</v>
      </c>
      <c r="I34" s="1">
        <v>0.18</v>
      </c>
    </row>
    <row r="35">
      <c r="A35" s="1" t="s">
        <v>42</v>
      </c>
      <c r="B35" s="1">
        <v>86.0</v>
      </c>
      <c r="C35" s="1">
        <v>1718.5</v>
      </c>
      <c r="D35" s="1">
        <v>1716.8</v>
      </c>
      <c r="E35" s="1">
        <v>147791.3</v>
      </c>
      <c r="F35" s="1">
        <v>147644.8</v>
      </c>
      <c r="G35" s="1">
        <v>-146.5</v>
      </c>
      <c r="H35" s="1">
        <v>-0.1</v>
      </c>
      <c r="I35" s="1">
        <v>-1.28</v>
      </c>
    </row>
    <row r="36">
      <c r="A36" s="1" t="s">
        <v>43</v>
      </c>
      <c r="B36" s="1">
        <v>417.0</v>
      </c>
      <c r="C36" s="1">
        <v>279.39</v>
      </c>
      <c r="D36" s="1">
        <v>344.05</v>
      </c>
      <c r="E36" s="1">
        <v>116506.4</v>
      </c>
      <c r="F36" s="1">
        <v>143468.85</v>
      </c>
      <c r="G36" s="1">
        <v>26962.45</v>
      </c>
      <c r="H36" s="1">
        <v>23.14</v>
      </c>
      <c r="I36" s="1">
        <v>1.24</v>
      </c>
    </row>
    <row r="37">
      <c r="A37" s="1" t="s">
        <v>44</v>
      </c>
      <c r="B37" s="1">
        <v>57.0</v>
      </c>
      <c r="C37" s="1">
        <v>1274.67</v>
      </c>
      <c r="D37" s="1">
        <v>1314.0</v>
      </c>
      <c r="E37" s="1">
        <v>72656.25</v>
      </c>
      <c r="F37" s="1">
        <v>74898.0</v>
      </c>
      <c r="G37" s="1">
        <v>2241.75</v>
      </c>
      <c r="H37" s="1">
        <v>3.09</v>
      </c>
      <c r="I37" s="1">
        <v>-1.13</v>
      </c>
    </row>
    <row r="38">
      <c r="A38" s="1" t="s">
        <v>45</v>
      </c>
      <c r="B38" s="1">
        <v>95.0</v>
      </c>
      <c r="C38" s="1">
        <v>807.05</v>
      </c>
      <c r="D38" s="1">
        <v>649.15</v>
      </c>
      <c r="E38" s="1">
        <v>76670.0</v>
      </c>
      <c r="F38" s="1">
        <v>61669.25</v>
      </c>
      <c r="G38" s="1">
        <v>-15000.75</v>
      </c>
      <c r="H38" s="1">
        <v>-19.57</v>
      </c>
      <c r="I38" s="1">
        <v>-1.13</v>
      </c>
    </row>
    <row r="39">
      <c r="A39" s="1" t="s">
        <v>46</v>
      </c>
      <c r="B39" s="1">
        <v>10.0</v>
      </c>
      <c r="C39" s="1">
        <v>25866.5</v>
      </c>
      <c r="D39" s="1">
        <v>25560.0</v>
      </c>
      <c r="E39" s="1">
        <v>258665.0</v>
      </c>
      <c r="F39" s="1">
        <v>255600.0</v>
      </c>
      <c r="G39" s="1">
        <v>-3065.0</v>
      </c>
      <c r="H39" s="1">
        <v>-1.18</v>
      </c>
      <c r="I39" s="1">
        <v>-0.04</v>
      </c>
    </row>
    <row r="40">
      <c r="A40" s="1" t="s">
        <v>47</v>
      </c>
      <c r="B40" s="1">
        <v>83.0</v>
      </c>
      <c r="C40" s="1">
        <v>3537.85</v>
      </c>
      <c r="D40" s="1">
        <v>2338.75</v>
      </c>
      <c r="E40" s="1">
        <v>293641.9</v>
      </c>
      <c r="F40" s="1">
        <v>194116.25</v>
      </c>
      <c r="G40" s="1">
        <v>-99525.65</v>
      </c>
      <c r="H40" s="1">
        <v>-33.89</v>
      </c>
      <c r="I40" s="1">
        <v>-0.47</v>
      </c>
    </row>
    <row r="41">
      <c r="A41" s="1" t="s">
        <v>48</v>
      </c>
      <c r="B41" s="1">
        <v>45.0</v>
      </c>
      <c r="C41" s="1">
        <v>3387.64</v>
      </c>
      <c r="D41" s="1">
        <v>5058.05</v>
      </c>
      <c r="E41" s="1">
        <v>152444.0</v>
      </c>
      <c r="F41" s="1">
        <v>227612.25</v>
      </c>
      <c r="G41" s="1">
        <v>75168.25</v>
      </c>
      <c r="H41" s="1">
        <v>49.31</v>
      </c>
      <c r="I41" s="1">
        <v>-0.94</v>
      </c>
    </row>
    <row r="42">
      <c r="A42" s="1" t="s">
        <v>49</v>
      </c>
      <c r="B42" s="1">
        <v>15.0</v>
      </c>
      <c r="C42" s="1">
        <v>7982.8</v>
      </c>
      <c r="D42" s="1">
        <v>10039.0</v>
      </c>
      <c r="E42" s="1">
        <v>119742.0</v>
      </c>
      <c r="F42" s="1">
        <v>150585.0</v>
      </c>
      <c r="G42" s="1">
        <v>30843.0</v>
      </c>
      <c r="H42" s="1">
        <v>25.76</v>
      </c>
      <c r="I42" s="1">
        <v>0.32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</row>
    <row r="2">
      <c r="A2" s="1" t="s">
        <v>9</v>
      </c>
      <c r="B2" s="1">
        <v>70.0</v>
      </c>
      <c r="C2" s="1">
        <v>1676.82</v>
      </c>
      <c r="D2" s="1">
        <v>1999.4</v>
      </c>
      <c r="E2" s="1">
        <v>117377.5</v>
      </c>
      <c r="F2" s="1">
        <v>139958.0</v>
      </c>
      <c r="G2" s="1">
        <v>22580.5</v>
      </c>
      <c r="H2" s="1">
        <v>19.24</v>
      </c>
      <c r="I2" s="1">
        <v>0.12</v>
      </c>
      <c r="L2" s="3">
        <f t="shared" ref="L2:L42" si="1">B2-Q2</f>
        <v>10</v>
      </c>
      <c r="M2" s="3">
        <f t="shared" ref="M2:M42" si="2">(E2-T2)/L2</f>
        <v>2007.9</v>
      </c>
      <c r="P2" s="2" t="s">
        <v>9</v>
      </c>
      <c r="Q2" s="4">
        <v>60.0</v>
      </c>
      <c r="R2" s="4">
        <v>1621.64</v>
      </c>
      <c r="S2" s="4">
        <v>1835.9</v>
      </c>
      <c r="T2" s="4">
        <v>97298.5</v>
      </c>
      <c r="U2" s="4">
        <v>110154.0</v>
      </c>
      <c r="V2" s="4">
        <v>12855.5</v>
      </c>
      <c r="W2" s="4">
        <v>13.21</v>
      </c>
      <c r="X2" s="4">
        <v>2.8</v>
      </c>
    </row>
    <row r="3">
      <c r="A3" s="1" t="s">
        <v>10</v>
      </c>
      <c r="B3" s="1">
        <v>63.0</v>
      </c>
      <c r="C3" s="1">
        <v>2465.94</v>
      </c>
      <c r="D3" s="1">
        <v>2729.5</v>
      </c>
      <c r="E3" s="1">
        <v>155354.5</v>
      </c>
      <c r="F3" s="1">
        <v>171958.5</v>
      </c>
      <c r="G3" s="1">
        <v>16604.0</v>
      </c>
      <c r="H3" s="1">
        <v>10.69</v>
      </c>
      <c r="I3" s="1">
        <v>-0.38</v>
      </c>
      <c r="L3" s="3">
        <f t="shared" si="1"/>
        <v>5</v>
      </c>
      <c r="M3" s="3">
        <f t="shared" si="2"/>
        <v>2735.9</v>
      </c>
      <c r="P3" s="2" t="s">
        <v>10</v>
      </c>
      <c r="Q3" s="4">
        <v>58.0</v>
      </c>
      <c r="R3" s="4">
        <v>2442.67</v>
      </c>
      <c r="S3" s="4">
        <v>2677.8</v>
      </c>
      <c r="T3" s="4">
        <v>141675.0</v>
      </c>
      <c r="U3" s="4">
        <v>155312.4</v>
      </c>
      <c r="V3" s="4">
        <v>13637.4</v>
      </c>
      <c r="W3" s="4">
        <v>9.63</v>
      </c>
      <c r="X3" s="4">
        <v>0.15</v>
      </c>
    </row>
    <row r="4" hidden="1">
      <c r="A4" s="1" t="s">
        <v>11</v>
      </c>
      <c r="B4" s="1">
        <v>34.0</v>
      </c>
      <c r="C4" s="1">
        <v>1077.09</v>
      </c>
      <c r="D4" s="1">
        <v>1554.7</v>
      </c>
      <c r="E4" s="1">
        <v>36621.2</v>
      </c>
      <c r="F4" s="1">
        <v>52859.8</v>
      </c>
      <c r="G4" s="1">
        <v>16238.6</v>
      </c>
      <c r="H4" s="1">
        <v>44.34</v>
      </c>
      <c r="I4" s="1">
        <v>-0.94</v>
      </c>
      <c r="L4" s="3">
        <f t="shared" si="1"/>
        <v>0</v>
      </c>
      <c r="M4" s="3" t="str">
        <f t="shared" si="2"/>
        <v>#DIV/0!</v>
      </c>
      <c r="P4" s="2" t="s">
        <v>11</v>
      </c>
      <c r="Q4" s="4">
        <v>34.0</v>
      </c>
      <c r="R4" s="4">
        <v>1077.09</v>
      </c>
      <c r="S4" s="4">
        <v>1225.8</v>
      </c>
      <c r="T4" s="4">
        <v>36621.2</v>
      </c>
      <c r="U4" s="4">
        <v>41677.2</v>
      </c>
      <c r="V4" s="4">
        <v>5056.0</v>
      </c>
      <c r="W4" s="4">
        <v>13.81</v>
      </c>
      <c r="X4" s="4">
        <v>0.61</v>
      </c>
    </row>
    <row r="5">
      <c r="A5" s="1" t="s">
        <v>12</v>
      </c>
      <c r="B5" s="1">
        <v>166.0</v>
      </c>
      <c r="C5" s="1">
        <v>655.05</v>
      </c>
      <c r="D5" s="1">
        <v>1086.3</v>
      </c>
      <c r="E5" s="1">
        <v>108738.85</v>
      </c>
      <c r="F5" s="1">
        <v>180325.8</v>
      </c>
      <c r="G5" s="1">
        <v>71586.95</v>
      </c>
      <c r="H5" s="1">
        <v>65.83</v>
      </c>
      <c r="I5" s="1">
        <v>-0.47</v>
      </c>
      <c r="L5" s="3">
        <f t="shared" si="1"/>
        <v>11</v>
      </c>
      <c r="M5" s="3">
        <f t="shared" si="2"/>
        <v>1067</v>
      </c>
      <c r="P5" s="2" t="s">
        <v>12</v>
      </c>
      <c r="Q5" s="4">
        <v>155.0</v>
      </c>
      <c r="R5" s="4">
        <v>625.82</v>
      </c>
      <c r="S5" s="4">
        <v>1072.35</v>
      </c>
      <c r="T5" s="4">
        <v>97001.85</v>
      </c>
      <c r="U5" s="4">
        <v>166214.25</v>
      </c>
      <c r="V5" s="4">
        <v>69212.4</v>
      </c>
      <c r="W5" s="4">
        <v>71.35</v>
      </c>
      <c r="X5" s="4">
        <v>2.38</v>
      </c>
    </row>
    <row r="6">
      <c r="A6" s="1" t="s">
        <v>13</v>
      </c>
      <c r="B6" s="1">
        <v>165.0</v>
      </c>
      <c r="C6" s="1">
        <v>1222.86</v>
      </c>
      <c r="D6" s="1">
        <v>1663.4</v>
      </c>
      <c r="E6" s="1">
        <v>201772.7</v>
      </c>
      <c r="F6" s="1">
        <v>274461.0</v>
      </c>
      <c r="G6" s="1">
        <v>72688.3</v>
      </c>
      <c r="H6" s="1">
        <v>36.02</v>
      </c>
      <c r="I6" s="1">
        <v>-0.22</v>
      </c>
      <c r="L6" s="3">
        <f t="shared" si="1"/>
        <v>10</v>
      </c>
      <c r="M6" s="3">
        <f t="shared" si="2"/>
        <v>1641.42</v>
      </c>
      <c r="P6" s="2" t="s">
        <v>13</v>
      </c>
      <c r="Q6" s="4">
        <v>155.0</v>
      </c>
      <c r="R6" s="4">
        <v>1195.86</v>
      </c>
      <c r="S6" s="4">
        <v>1564.7</v>
      </c>
      <c r="T6" s="4">
        <v>185358.5</v>
      </c>
      <c r="U6" s="4">
        <v>242528.5</v>
      </c>
      <c r="V6" s="4">
        <v>57170.0</v>
      </c>
      <c r="W6" s="4">
        <v>30.84</v>
      </c>
      <c r="X6" s="4">
        <v>-1.43</v>
      </c>
    </row>
    <row r="7" hidden="1">
      <c r="A7" s="1" t="s">
        <v>14</v>
      </c>
      <c r="B7" s="1">
        <v>330.0</v>
      </c>
      <c r="C7" s="1">
        <v>777.52</v>
      </c>
      <c r="D7" s="1">
        <v>1088.5</v>
      </c>
      <c r="E7" s="1">
        <v>256581.25</v>
      </c>
      <c r="F7" s="1">
        <v>359205.0</v>
      </c>
      <c r="G7" s="1">
        <v>102623.75</v>
      </c>
      <c r="H7" s="1">
        <v>40.0</v>
      </c>
      <c r="I7" s="1">
        <v>-0.52</v>
      </c>
      <c r="L7" s="3">
        <f t="shared" si="1"/>
        <v>0</v>
      </c>
      <c r="M7" s="3" t="str">
        <f t="shared" si="2"/>
        <v>#DIV/0!</v>
      </c>
      <c r="P7" s="2" t="s">
        <v>14</v>
      </c>
      <c r="Q7" s="4">
        <v>330.0</v>
      </c>
      <c r="R7" s="4">
        <v>777.52</v>
      </c>
      <c r="S7" s="4">
        <v>1020.5</v>
      </c>
      <c r="T7" s="4">
        <v>256581.25</v>
      </c>
      <c r="U7" s="4">
        <v>336765.0</v>
      </c>
      <c r="V7" s="4">
        <v>80183.75</v>
      </c>
      <c r="W7" s="4">
        <v>31.25</v>
      </c>
      <c r="X7" s="4">
        <v>1.66</v>
      </c>
    </row>
    <row r="8" hidden="1">
      <c r="A8" s="1" t="s">
        <v>15</v>
      </c>
      <c r="B8" s="1">
        <v>3505.0</v>
      </c>
      <c r="C8" s="1">
        <v>516.76</v>
      </c>
      <c r="D8" s="1">
        <v>917.15</v>
      </c>
      <c r="E8" s="1">
        <v>1811257.95</v>
      </c>
      <c r="F8" s="1">
        <v>3214610.75</v>
      </c>
      <c r="G8" s="1">
        <v>1403352.8</v>
      </c>
      <c r="H8" s="1">
        <v>77.48</v>
      </c>
      <c r="I8" s="1">
        <v>2.53</v>
      </c>
      <c r="L8" s="3">
        <f t="shared" si="1"/>
        <v>0</v>
      </c>
      <c r="M8" s="3" t="str">
        <f t="shared" si="2"/>
        <v>#DIV/0!</v>
      </c>
      <c r="P8" s="2" t="s">
        <v>15</v>
      </c>
      <c r="Q8" s="4">
        <v>3505.0</v>
      </c>
      <c r="R8" s="4">
        <v>516.76</v>
      </c>
      <c r="S8" s="4">
        <v>580.7</v>
      </c>
      <c r="T8" s="4">
        <v>1811257.95</v>
      </c>
      <c r="U8" s="4">
        <v>2035353.5</v>
      </c>
      <c r="V8" s="4">
        <v>224095.55</v>
      </c>
      <c r="W8" s="4">
        <v>12.37</v>
      </c>
      <c r="X8" s="4">
        <v>1.57</v>
      </c>
    </row>
    <row r="9" hidden="1">
      <c r="A9" s="1" t="s">
        <v>16</v>
      </c>
      <c r="B9" s="1">
        <v>500.0</v>
      </c>
      <c r="C9" s="1">
        <v>580.0</v>
      </c>
      <c r="D9" s="1">
        <v>407.5</v>
      </c>
      <c r="E9" s="1">
        <v>290000.0</v>
      </c>
      <c r="F9" s="1">
        <v>203750.0</v>
      </c>
      <c r="G9" s="1">
        <v>-86250.0</v>
      </c>
      <c r="H9" s="1">
        <v>-29.74</v>
      </c>
      <c r="I9" s="1">
        <v>-0.91</v>
      </c>
      <c r="L9" s="3">
        <f t="shared" si="1"/>
        <v>0</v>
      </c>
      <c r="M9" s="3" t="str">
        <f t="shared" si="2"/>
        <v>#DIV/0!</v>
      </c>
      <c r="P9" s="2" t="s">
        <v>16</v>
      </c>
      <c r="Q9" s="4">
        <v>500.0</v>
      </c>
      <c r="R9" s="4">
        <v>580.0</v>
      </c>
      <c r="S9" s="4">
        <v>443.5</v>
      </c>
      <c r="T9" s="4">
        <v>290000.0</v>
      </c>
      <c r="U9" s="4">
        <v>221750.0</v>
      </c>
      <c r="V9" s="4">
        <v>-68250.0</v>
      </c>
      <c r="W9" s="4">
        <v>-23.53</v>
      </c>
      <c r="X9" s="4">
        <v>0.08</v>
      </c>
    </row>
    <row r="10" hidden="1">
      <c r="A10" s="1" t="s">
        <v>17</v>
      </c>
      <c r="B10" s="1">
        <v>30.0</v>
      </c>
      <c r="C10" s="1">
        <v>6066.12</v>
      </c>
      <c r="D10" s="1">
        <v>8502.5</v>
      </c>
      <c r="E10" s="1">
        <v>181983.5</v>
      </c>
      <c r="F10" s="1">
        <v>255075.0</v>
      </c>
      <c r="G10" s="1">
        <v>73091.5</v>
      </c>
      <c r="H10" s="1">
        <v>40.16</v>
      </c>
      <c r="I10" s="1">
        <v>-1.13</v>
      </c>
      <c r="L10" s="3">
        <f t="shared" si="1"/>
        <v>0</v>
      </c>
      <c r="M10" s="3" t="str">
        <f t="shared" si="2"/>
        <v>#DIV/0!</v>
      </c>
      <c r="P10" s="2" t="s">
        <v>17</v>
      </c>
      <c r="Q10" s="4">
        <v>30.0</v>
      </c>
      <c r="R10" s="4">
        <v>6066.12</v>
      </c>
      <c r="S10" s="4">
        <v>6836.0</v>
      </c>
      <c r="T10" s="4">
        <v>181983.5</v>
      </c>
      <c r="U10" s="4">
        <v>205080.0</v>
      </c>
      <c r="V10" s="4">
        <v>23096.5</v>
      </c>
      <c r="W10" s="4">
        <v>12.69</v>
      </c>
      <c r="X10" s="4">
        <v>0.34</v>
      </c>
    </row>
    <row r="11" hidden="1">
      <c r="A11" s="1" t="s">
        <v>18</v>
      </c>
      <c r="B11" s="1">
        <v>9.0</v>
      </c>
      <c r="C11" s="1">
        <v>3758.02</v>
      </c>
      <c r="D11" s="1">
        <v>4048.1</v>
      </c>
      <c r="E11" s="1">
        <v>33822.2</v>
      </c>
      <c r="F11" s="1">
        <v>36432.9</v>
      </c>
      <c r="G11" s="1">
        <v>2610.7</v>
      </c>
      <c r="H11" s="1">
        <v>7.72</v>
      </c>
      <c r="I11" s="1">
        <v>0.2</v>
      </c>
      <c r="L11" s="3">
        <f t="shared" si="1"/>
        <v>0</v>
      </c>
      <c r="M11" s="3" t="str">
        <f t="shared" si="2"/>
        <v>#DIV/0!</v>
      </c>
      <c r="P11" s="2" t="s">
        <v>18</v>
      </c>
      <c r="Q11" s="4">
        <v>9.0</v>
      </c>
      <c r="R11" s="4">
        <v>3758.02</v>
      </c>
      <c r="S11" s="4">
        <v>4083.05</v>
      </c>
      <c r="T11" s="4">
        <v>33822.2</v>
      </c>
      <c r="U11" s="4">
        <v>36747.45</v>
      </c>
      <c r="V11" s="4">
        <v>2925.25</v>
      </c>
      <c r="W11" s="4">
        <v>8.65</v>
      </c>
      <c r="X11" s="4">
        <v>0.09</v>
      </c>
    </row>
    <row r="12" hidden="1">
      <c r="A12" s="1" t="s">
        <v>19</v>
      </c>
      <c r="B12" s="1">
        <v>468.0</v>
      </c>
      <c r="C12" s="1">
        <v>252.84</v>
      </c>
      <c r="D12" s="1">
        <v>314.05</v>
      </c>
      <c r="E12" s="1">
        <v>118330.07</v>
      </c>
      <c r="F12" s="1">
        <v>146975.4</v>
      </c>
      <c r="G12" s="1">
        <v>28645.33</v>
      </c>
      <c r="H12" s="1">
        <v>24.21</v>
      </c>
      <c r="I12" s="1">
        <v>0.0</v>
      </c>
      <c r="L12" s="3">
        <f t="shared" si="1"/>
        <v>0</v>
      </c>
      <c r="M12" s="3" t="str">
        <f t="shared" si="2"/>
        <v>#DIV/0!</v>
      </c>
      <c r="P12" s="2" t="s">
        <v>19</v>
      </c>
      <c r="Q12" s="4">
        <v>468.0</v>
      </c>
      <c r="R12" s="4">
        <v>252.84</v>
      </c>
      <c r="S12" s="4">
        <v>289.65</v>
      </c>
      <c r="T12" s="4">
        <v>118330.07</v>
      </c>
      <c r="U12" s="4">
        <v>135556.2</v>
      </c>
      <c r="V12" s="4">
        <v>17226.13</v>
      </c>
      <c r="W12" s="4">
        <v>14.56</v>
      </c>
      <c r="X12" s="4">
        <v>-0.96</v>
      </c>
    </row>
    <row r="13" hidden="1">
      <c r="A13" s="1" t="s">
        <v>20</v>
      </c>
      <c r="B13" s="1">
        <v>68.0</v>
      </c>
      <c r="C13" s="1">
        <v>2255.43</v>
      </c>
      <c r="D13" s="1">
        <v>2481.0</v>
      </c>
      <c r="E13" s="1">
        <v>153369.2</v>
      </c>
      <c r="F13" s="1">
        <v>168708.0</v>
      </c>
      <c r="G13" s="1">
        <v>15338.8</v>
      </c>
      <c r="H13" s="1">
        <v>10.0</v>
      </c>
      <c r="I13" s="1">
        <v>-0.72</v>
      </c>
      <c r="L13" s="3">
        <f t="shared" si="1"/>
        <v>0</v>
      </c>
      <c r="M13" s="3" t="str">
        <f t="shared" si="2"/>
        <v>#DIV/0!</v>
      </c>
      <c r="P13" s="2" t="s">
        <v>20</v>
      </c>
      <c r="Q13" s="4">
        <v>68.0</v>
      </c>
      <c r="R13" s="4">
        <v>2255.43</v>
      </c>
      <c r="S13" s="4">
        <v>2763.35</v>
      </c>
      <c r="T13" s="4">
        <v>153369.2</v>
      </c>
      <c r="U13" s="4">
        <v>187907.8</v>
      </c>
      <c r="V13" s="4">
        <v>34538.6</v>
      </c>
      <c r="W13" s="4">
        <v>22.52</v>
      </c>
      <c r="X13" s="4">
        <v>0.96</v>
      </c>
    </row>
    <row r="14" hidden="1">
      <c r="A14" s="1" t="s">
        <v>21</v>
      </c>
      <c r="B14" s="1">
        <v>654.0</v>
      </c>
      <c r="C14" s="1">
        <v>901.52</v>
      </c>
      <c r="D14" s="1">
        <v>725.9</v>
      </c>
      <c r="E14" s="1">
        <v>589596.05</v>
      </c>
      <c r="F14" s="1">
        <v>474738.6</v>
      </c>
      <c r="G14" s="1">
        <v>-114857.45</v>
      </c>
      <c r="H14" s="1">
        <v>-19.48</v>
      </c>
      <c r="I14" s="1">
        <v>-0.43</v>
      </c>
      <c r="L14" s="3">
        <f t="shared" si="1"/>
        <v>0</v>
      </c>
      <c r="M14" s="3" t="str">
        <f t="shared" si="2"/>
        <v>#DIV/0!</v>
      </c>
      <c r="P14" s="2" t="s">
        <v>21</v>
      </c>
      <c r="Q14" s="4">
        <v>654.0</v>
      </c>
      <c r="R14" s="4">
        <v>901.52</v>
      </c>
      <c r="S14" s="4">
        <v>824.95</v>
      </c>
      <c r="T14" s="4">
        <v>589596.05</v>
      </c>
      <c r="U14" s="4">
        <v>539517.3</v>
      </c>
      <c r="V14" s="4">
        <v>-50078.75</v>
      </c>
      <c r="W14" s="4">
        <v>-8.49</v>
      </c>
      <c r="X14" s="4">
        <v>0.91</v>
      </c>
    </row>
    <row r="15" hidden="1">
      <c r="A15" s="1" t="s">
        <v>22</v>
      </c>
      <c r="B15" s="1">
        <v>260.0</v>
      </c>
      <c r="C15" s="1">
        <v>687.84</v>
      </c>
      <c r="D15" s="1">
        <v>536.0</v>
      </c>
      <c r="E15" s="1">
        <v>178837.85</v>
      </c>
      <c r="F15" s="1">
        <v>139360.0</v>
      </c>
      <c r="G15" s="1">
        <v>-39477.85</v>
      </c>
      <c r="H15" s="1">
        <v>-22.07</v>
      </c>
      <c r="I15" s="1">
        <v>-0.19</v>
      </c>
      <c r="L15" s="3">
        <f t="shared" si="1"/>
        <v>0</v>
      </c>
      <c r="M15" s="3" t="str">
        <f t="shared" si="2"/>
        <v>#DIV/0!</v>
      </c>
      <c r="P15" s="2" t="s">
        <v>22</v>
      </c>
      <c r="Q15" s="4">
        <v>260.0</v>
      </c>
      <c r="R15" s="4">
        <v>687.84</v>
      </c>
      <c r="S15" s="4">
        <v>567.7</v>
      </c>
      <c r="T15" s="4">
        <v>178837.85</v>
      </c>
      <c r="U15" s="4">
        <v>147602.0</v>
      </c>
      <c r="V15" s="4">
        <v>-31235.85</v>
      </c>
      <c r="W15" s="4">
        <v>-17.47</v>
      </c>
      <c r="X15" s="4">
        <v>2.87</v>
      </c>
    </row>
    <row r="16" hidden="1">
      <c r="A16" s="1" t="s">
        <v>23</v>
      </c>
      <c r="B16" s="1">
        <v>695.0</v>
      </c>
      <c r="C16" s="1">
        <v>408.73</v>
      </c>
      <c r="D16" s="1">
        <v>480.32</v>
      </c>
      <c r="E16" s="1">
        <v>284070.0</v>
      </c>
      <c r="F16" s="1">
        <v>333822.4</v>
      </c>
      <c r="G16" s="1">
        <v>49752.4</v>
      </c>
      <c r="H16" s="1">
        <v>17.51</v>
      </c>
      <c r="I16" s="1">
        <v>0.0</v>
      </c>
      <c r="L16" s="3">
        <f t="shared" si="1"/>
        <v>0</v>
      </c>
      <c r="M16" s="3" t="str">
        <f t="shared" si="2"/>
        <v>#DIV/0!</v>
      </c>
      <c r="P16" s="2" t="s">
        <v>23</v>
      </c>
      <c r="Q16" s="4">
        <v>695.0</v>
      </c>
      <c r="R16" s="4">
        <v>408.73</v>
      </c>
      <c r="S16" s="4">
        <v>483.92</v>
      </c>
      <c r="T16" s="4">
        <v>284070.0</v>
      </c>
      <c r="U16" s="4">
        <v>336324.4</v>
      </c>
      <c r="V16" s="4">
        <v>52254.4</v>
      </c>
      <c r="W16" s="4">
        <v>18.39</v>
      </c>
      <c r="X16" s="4">
        <v>0.75</v>
      </c>
    </row>
    <row r="17">
      <c r="A17" s="1" t="s">
        <v>24</v>
      </c>
      <c r="B17" s="1">
        <v>90.0</v>
      </c>
      <c r="C17" s="1">
        <v>1854.98</v>
      </c>
      <c r="D17" s="1">
        <v>1631.8</v>
      </c>
      <c r="E17" s="1">
        <v>166948.1</v>
      </c>
      <c r="F17" s="1">
        <v>146862.0</v>
      </c>
      <c r="G17" s="1">
        <v>-20086.1</v>
      </c>
      <c r="H17" s="1">
        <v>-12.03</v>
      </c>
      <c r="I17" s="1">
        <v>-0.2</v>
      </c>
      <c r="L17" s="3">
        <f t="shared" si="1"/>
        <v>10</v>
      </c>
      <c r="M17" s="3">
        <f t="shared" si="2"/>
        <v>1646.4</v>
      </c>
      <c r="P17" s="2" t="s">
        <v>24</v>
      </c>
      <c r="Q17" s="4">
        <v>80.0</v>
      </c>
      <c r="R17" s="4">
        <v>1881.05</v>
      </c>
      <c r="S17" s="4">
        <v>1826.2</v>
      </c>
      <c r="T17" s="4">
        <v>150484.1</v>
      </c>
      <c r="U17" s="4">
        <v>146096.0</v>
      </c>
      <c r="V17" s="4">
        <v>-4388.1</v>
      </c>
      <c r="W17" s="4">
        <v>-2.92</v>
      </c>
      <c r="X17" s="4">
        <v>1.76</v>
      </c>
    </row>
    <row r="18" hidden="1">
      <c r="A18" s="1" t="s">
        <v>25</v>
      </c>
      <c r="B18" s="1">
        <v>1750.0</v>
      </c>
      <c r="C18" s="1">
        <v>82.52</v>
      </c>
      <c r="D18" s="1">
        <v>85.82</v>
      </c>
      <c r="E18" s="1">
        <v>144413.48</v>
      </c>
      <c r="F18" s="1">
        <v>150185.0</v>
      </c>
      <c r="G18" s="1">
        <v>5771.52</v>
      </c>
      <c r="H18" s="1">
        <v>4.0</v>
      </c>
      <c r="I18" s="1">
        <v>0.02</v>
      </c>
      <c r="L18" s="3">
        <f t="shared" si="1"/>
        <v>0</v>
      </c>
      <c r="M18" s="3" t="str">
        <f t="shared" si="2"/>
        <v>#DIV/0!</v>
      </c>
      <c r="P18" s="2" t="s">
        <v>25</v>
      </c>
      <c r="Q18" s="4">
        <v>1750.0</v>
      </c>
      <c r="R18" s="4">
        <v>82.52</v>
      </c>
      <c r="S18" s="4">
        <v>80.83</v>
      </c>
      <c r="T18" s="4">
        <v>144413.48</v>
      </c>
      <c r="U18" s="4">
        <v>141452.5</v>
      </c>
      <c r="V18" s="4">
        <v>-2960.98</v>
      </c>
      <c r="W18" s="4">
        <v>-2.05</v>
      </c>
      <c r="X18" s="4">
        <v>1.72</v>
      </c>
    </row>
    <row r="19" hidden="1">
      <c r="A19" s="1" t="s">
        <v>26</v>
      </c>
      <c r="B19" s="1">
        <v>1082.0</v>
      </c>
      <c r="C19" s="1">
        <v>155.45</v>
      </c>
      <c r="D19" s="1">
        <v>125.5</v>
      </c>
      <c r="E19" s="1">
        <v>168200.42</v>
      </c>
      <c r="F19" s="1">
        <v>135791.0</v>
      </c>
      <c r="G19" s="1">
        <v>-32409.42</v>
      </c>
      <c r="H19" s="1">
        <v>-19.27</v>
      </c>
      <c r="I19" s="1">
        <v>-0.71</v>
      </c>
      <c r="L19" s="3">
        <f t="shared" si="1"/>
        <v>0</v>
      </c>
      <c r="M19" s="3" t="str">
        <f t="shared" si="2"/>
        <v>#DIV/0!</v>
      </c>
      <c r="P19" s="2" t="s">
        <v>26</v>
      </c>
      <c r="Q19" s="4">
        <v>1082.0</v>
      </c>
      <c r="R19" s="4">
        <v>155.45</v>
      </c>
      <c r="S19" s="4">
        <v>119.65</v>
      </c>
      <c r="T19" s="4">
        <v>168200.42</v>
      </c>
      <c r="U19" s="4">
        <v>129461.3</v>
      </c>
      <c r="V19" s="4">
        <v>-38739.12</v>
      </c>
      <c r="W19" s="4">
        <v>-23.03</v>
      </c>
      <c r="X19" s="4">
        <v>1.53</v>
      </c>
    </row>
    <row r="20" hidden="1">
      <c r="A20" s="1" t="s">
        <v>27</v>
      </c>
      <c r="B20" s="1">
        <v>26.0</v>
      </c>
      <c r="C20" s="1">
        <v>2200.45</v>
      </c>
      <c r="D20" s="1">
        <v>1798.2</v>
      </c>
      <c r="E20" s="1">
        <v>57211.8</v>
      </c>
      <c r="F20" s="1">
        <v>46753.2</v>
      </c>
      <c r="G20" s="1">
        <v>-10458.6</v>
      </c>
      <c r="H20" s="1">
        <v>-18.28</v>
      </c>
      <c r="I20" s="1">
        <v>0.76</v>
      </c>
      <c r="L20" s="3">
        <f t="shared" si="1"/>
        <v>0</v>
      </c>
      <c r="M20" s="3" t="str">
        <f t="shared" si="2"/>
        <v>#DIV/0!</v>
      </c>
      <c r="P20" s="2" t="s">
        <v>27</v>
      </c>
      <c r="Q20" s="4">
        <v>26.0</v>
      </c>
      <c r="R20" s="4">
        <v>2200.45</v>
      </c>
      <c r="S20" s="4">
        <v>1924.0</v>
      </c>
      <c r="T20" s="4">
        <v>57211.8</v>
      </c>
      <c r="U20" s="4">
        <v>50024.0</v>
      </c>
      <c r="V20" s="4">
        <v>-7187.8</v>
      </c>
      <c r="W20" s="4">
        <v>-12.56</v>
      </c>
      <c r="X20" s="4">
        <v>-0.04</v>
      </c>
    </row>
    <row r="21" hidden="1">
      <c r="A21" s="1" t="s">
        <v>28</v>
      </c>
      <c r="B21" s="1">
        <v>225.0</v>
      </c>
      <c r="C21" s="1">
        <v>1569.6</v>
      </c>
      <c r="D21" s="1">
        <v>1165.2</v>
      </c>
      <c r="E21" s="1">
        <v>353160.5</v>
      </c>
      <c r="F21" s="1">
        <v>262170.0</v>
      </c>
      <c r="G21" s="1">
        <v>-90990.5</v>
      </c>
      <c r="H21" s="1">
        <v>-25.76</v>
      </c>
      <c r="I21" s="1">
        <v>-0.93</v>
      </c>
      <c r="L21" s="3">
        <f t="shared" si="1"/>
        <v>0</v>
      </c>
      <c r="M21" s="3" t="str">
        <f t="shared" si="2"/>
        <v>#DIV/0!</v>
      </c>
      <c r="P21" s="2" t="s">
        <v>28</v>
      </c>
      <c r="Q21" s="4">
        <v>225.0</v>
      </c>
      <c r="R21" s="4">
        <v>1569.6</v>
      </c>
      <c r="S21" s="4">
        <v>1068.05</v>
      </c>
      <c r="T21" s="4">
        <v>353160.5</v>
      </c>
      <c r="U21" s="4">
        <v>240311.25</v>
      </c>
      <c r="V21" s="4">
        <v>-112849.25</v>
      </c>
      <c r="W21" s="4">
        <v>-31.95</v>
      </c>
      <c r="X21" s="4">
        <v>1.71</v>
      </c>
    </row>
    <row r="22" hidden="1">
      <c r="A22" s="1" t="s">
        <v>29</v>
      </c>
      <c r="B22" s="1">
        <v>494.0</v>
      </c>
      <c r="C22" s="1">
        <v>270.94</v>
      </c>
      <c r="D22" s="1">
        <v>261.75</v>
      </c>
      <c r="E22" s="1">
        <v>133845.45</v>
      </c>
      <c r="F22" s="1">
        <v>129304.5</v>
      </c>
      <c r="G22" s="1">
        <v>-4540.95</v>
      </c>
      <c r="H22" s="1">
        <v>-3.39</v>
      </c>
      <c r="I22" s="1">
        <v>2.23</v>
      </c>
      <c r="L22" s="3">
        <f t="shared" si="1"/>
        <v>0</v>
      </c>
      <c r="M22" s="3" t="str">
        <f t="shared" si="2"/>
        <v>#DIV/0!</v>
      </c>
      <c r="P22" s="2" t="s">
        <v>29</v>
      </c>
      <c r="Q22" s="4">
        <v>494.0</v>
      </c>
      <c r="R22" s="4">
        <v>270.94</v>
      </c>
      <c r="S22" s="4">
        <v>241.96</v>
      </c>
      <c r="T22" s="4">
        <v>133845.45</v>
      </c>
      <c r="U22" s="4">
        <v>119528.24</v>
      </c>
      <c r="V22" s="4">
        <v>-14317.21</v>
      </c>
      <c r="W22" s="4">
        <v>-10.7</v>
      </c>
      <c r="X22" s="4">
        <v>3.68</v>
      </c>
    </row>
    <row r="23" hidden="1">
      <c r="A23" s="1" t="s">
        <v>30</v>
      </c>
      <c r="B23" s="1">
        <v>755.0</v>
      </c>
      <c r="C23" s="1">
        <v>374.69</v>
      </c>
      <c r="D23" s="1">
        <v>391.3</v>
      </c>
      <c r="E23" s="1">
        <v>282891.75</v>
      </c>
      <c r="F23" s="1">
        <v>295431.5</v>
      </c>
      <c r="G23" s="1">
        <v>12539.75</v>
      </c>
      <c r="H23" s="1">
        <v>4.43</v>
      </c>
      <c r="I23" s="1">
        <v>-0.24</v>
      </c>
      <c r="L23" s="3">
        <f t="shared" si="1"/>
        <v>0</v>
      </c>
      <c r="M23" s="3" t="str">
        <f t="shared" si="2"/>
        <v>#DIV/0!</v>
      </c>
      <c r="P23" s="2" t="s">
        <v>30</v>
      </c>
      <c r="Q23" s="4">
        <v>755.0</v>
      </c>
      <c r="R23" s="4">
        <v>374.69</v>
      </c>
      <c r="S23" s="4">
        <v>377.8</v>
      </c>
      <c r="T23" s="4">
        <v>282891.75</v>
      </c>
      <c r="U23" s="4">
        <v>285239.0</v>
      </c>
      <c r="V23" s="4">
        <v>2347.25</v>
      </c>
      <c r="W23" s="4">
        <v>0.83</v>
      </c>
      <c r="X23" s="4">
        <v>0.2</v>
      </c>
    </row>
    <row r="24" hidden="1">
      <c r="A24" s="1" t="s">
        <v>31</v>
      </c>
      <c r="B24" s="1">
        <v>142.0</v>
      </c>
      <c r="C24" s="1">
        <v>1517.05</v>
      </c>
      <c r="D24" s="1">
        <v>1948.1</v>
      </c>
      <c r="E24" s="1">
        <v>215421.6</v>
      </c>
      <c r="F24" s="1">
        <v>276630.2</v>
      </c>
      <c r="G24" s="1">
        <v>61208.6</v>
      </c>
      <c r="H24" s="1">
        <v>28.41</v>
      </c>
      <c r="I24" s="1">
        <v>-0.27</v>
      </c>
      <c r="L24" s="3">
        <f t="shared" si="1"/>
        <v>0</v>
      </c>
      <c r="M24" s="3" t="str">
        <f t="shared" si="2"/>
        <v>#DIV/0!</v>
      </c>
      <c r="P24" s="2" t="s">
        <v>31</v>
      </c>
      <c r="Q24" s="4">
        <v>142.0</v>
      </c>
      <c r="R24" s="4">
        <v>1517.05</v>
      </c>
      <c r="S24" s="4">
        <v>1685.1</v>
      </c>
      <c r="T24" s="4">
        <v>215421.6</v>
      </c>
      <c r="U24" s="4">
        <v>239284.2</v>
      </c>
      <c r="V24" s="4">
        <v>23862.6</v>
      </c>
      <c r="W24" s="4">
        <v>11.08</v>
      </c>
      <c r="X24" s="4">
        <v>0.05</v>
      </c>
    </row>
    <row r="25">
      <c r="A25" s="1" t="s">
        <v>32</v>
      </c>
      <c r="B25" s="1">
        <v>60.0</v>
      </c>
      <c r="C25" s="1">
        <v>3765.51</v>
      </c>
      <c r="D25" s="1">
        <v>4022.1</v>
      </c>
      <c r="E25" s="1">
        <v>225930.8</v>
      </c>
      <c r="F25" s="1">
        <v>241326.0</v>
      </c>
      <c r="G25" s="1">
        <v>15395.2</v>
      </c>
      <c r="H25" s="1">
        <v>6.81</v>
      </c>
      <c r="I25" s="1">
        <v>0.05</v>
      </c>
      <c r="L25" s="3">
        <f t="shared" si="1"/>
        <v>5</v>
      </c>
      <c r="M25" s="3">
        <f t="shared" si="2"/>
        <v>4047.8</v>
      </c>
      <c r="P25" s="2" t="s">
        <v>32</v>
      </c>
      <c r="Q25" s="4">
        <v>55.0</v>
      </c>
      <c r="R25" s="4">
        <v>3739.85</v>
      </c>
      <c r="S25" s="4">
        <v>3946.55</v>
      </c>
      <c r="T25" s="4">
        <v>205691.8</v>
      </c>
      <c r="U25" s="4">
        <v>217060.25</v>
      </c>
      <c r="V25" s="4">
        <v>11368.45</v>
      </c>
      <c r="W25" s="4">
        <v>5.53</v>
      </c>
      <c r="X25" s="4">
        <v>1.52</v>
      </c>
    </row>
    <row r="26" hidden="1">
      <c r="A26" s="1" t="s">
        <v>33</v>
      </c>
      <c r="B26" s="1">
        <v>28.0</v>
      </c>
      <c r="C26" s="1">
        <v>5679.97</v>
      </c>
      <c r="D26" s="1">
        <v>4719.7</v>
      </c>
      <c r="E26" s="1">
        <v>159039.25</v>
      </c>
      <c r="F26" s="1">
        <v>132151.6</v>
      </c>
      <c r="G26" s="1">
        <v>-26887.65</v>
      </c>
      <c r="H26" s="1">
        <v>-16.91</v>
      </c>
      <c r="I26" s="1">
        <v>-0.89</v>
      </c>
      <c r="L26" s="3">
        <f t="shared" si="1"/>
        <v>0</v>
      </c>
      <c r="M26" s="3" t="str">
        <f t="shared" si="2"/>
        <v>#DIV/0!</v>
      </c>
      <c r="P26" s="2" t="s">
        <v>33</v>
      </c>
      <c r="Q26" s="4">
        <v>28.0</v>
      </c>
      <c r="R26" s="4">
        <v>5679.97</v>
      </c>
      <c r="S26" s="4">
        <v>4041.15</v>
      </c>
      <c r="T26" s="4">
        <v>159039.25</v>
      </c>
      <c r="U26" s="4">
        <v>113152.2</v>
      </c>
      <c r="V26" s="4">
        <v>-45887.05</v>
      </c>
      <c r="W26" s="4">
        <v>-28.85</v>
      </c>
      <c r="X26" s="4">
        <v>4.89</v>
      </c>
    </row>
    <row r="27" hidden="1">
      <c r="A27" s="1" t="s">
        <v>34</v>
      </c>
      <c r="B27" s="1">
        <v>242.0</v>
      </c>
      <c r="C27" s="1">
        <v>622.32</v>
      </c>
      <c r="D27" s="1">
        <v>853.75</v>
      </c>
      <c r="E27" s="1">
        <v>150602.4</v>
      </c>
      <c r="F27" s="1">
        <v>206607.5</v>
      </c>
      <c r="G27" s="1">
        <v>56005.1</v>
      </c>
      <c r="H27" s="1">
        <v>37.19</v>
      </c>
      <c r="I27" s="1">
        <v>-0.15</v>
      </c>
      <c r="L27" s="3">
        <f t="shared" si="1"/>
        <v>0</v>
      </c>
      <c r="M27" s="3" t="str">
        <f t="shared" si="2"/>
        <v>#DIV/0!</v>
      </c>
      <c r="P27" s="2" t="s">
        <v>34</v>
      </c>
      <c r="Q27" s="4">
        <v>242.0</v>
      </c>
      <c r="R27" s="4">
        <v>622.32</v>
      </c>
      <c r="S27" s="4">
        <v>852.5</v>
      </c>
      <c r="T27" s="4">
        <v>150602.4</v>
      </c>
      <c r="U27" s="4">
        <v>206305.0</v>
      </c>
      <c r="V27" s="4">
        <v>55702.6</v>
      </c>
      <c r="W27" s="4">
        <v>36.99</v>
      </c>
      <c r="X27" s="4">
        <v>-0.88</v>
      </c>
    </row>
    <row r="28">
      <c r="A28" s="1" t="s">
        <v>35</v>
      </c>
      <c r="B28" s="1">
        <v>15.0</v>
      </c>
      <c r="C28" s="1">
        <v>15327.0</v>
      </c>
      <c r="D28" s="1">
        <v>13910.05</v>
      </c>
      <c r="E28" s="1">
        <v>229905.0</v>
      </c>
      <c r="F28" s="1">
        <v>208650.75</v>
      </c>
      <c r="G28" s="1">
        <v>-21254.25</v>
      </c>
      <c r="H28" s="1">
        <v>-9.24</v>
      </c>
      <c r="I28" s="1">
        <v>0.0</v>
      </c>
      <c r="L28" s="3">
        <f t="shared" si="1"/>
        <v>3</v>
      </c>
      <c r="M28" s="3">
        <f t="shared" si="2"/>
        <v>14093</v>
      </c>
      <c r="P28" s="2" t="s">
        <v>35</v>
      </c>
      <c r="Q28" s="4">
        <v>12.0</v>
      </c>
      <c r="R28" s="4">
        <v>15635.5</v>
      </c>
      <c r="S28" s="4">
        <v>13859.25</v>
      </c>
      <c r="T28" s="4">
        <v>187626.0</v>
      </c>
      <c r="U28" s="4">
        <v>166311.0</v>
      </c>
      <c r="V28" s="4">
        <v>-21315.0</v>
      </c>
      <c r="W28" s="4">
        <v>-11.36</v>
      </c>
      <c r="X28" s="4">
        <v>0.95</v>
      </c>
    </row>
    <row r="29" hidden="1">
      <c r="A29" s="1" t="s">
        <v>36</v>
      </c>
      <c r="B29" s="1">
        <v>877.0</v>
      </c>
      <c r="C29" s="1">
        <v>105.83</v>
      </c>
      <c r="D29" s="1">
        <v>170.67</v>
      </c>
      <c r="E29" s="1">
        <v>92811.0</v>
      </c>
      <c r="F29" s="1">
        <v>149677.59</v>
      </c>
      <c r="G29" s="1">
        <v>56866.59</v>
      </c>
      <c r="H29" s="1">
        <v>61.27</v>
      </c>
      <c r="I29" s="1">
        <v>0.69</v>
      </c>
      <c r="L29" s="3">
        <f t="shared" si="1"/>
        <v>0</v>
      </c>
      <c r="M29" s="3" t="str">
        <f t="shared" si="2"/>
        <v>#DIV/0!</v>
      </c>
      <c r="P29" s="2" t="s">
        <v>36</v>
      </c>
      <c r="Q29" s="4">
        <v>877.0</v>
      </c>
      <c r="R29" s="4">
        <v>105.83</v>
      </c>
      <c r="S29" s="4">
        <v>143.2</v>
      </c>
      <c r="T29" s="4">
        <v>92811.0</v>
      </c>
      <c r="U29" s="4">
        <v>125586.4</v>
      </c>
      <c r="V29" s="4">
        <v>32775.4</v>
      </c>
      <c r="W29" s="4">
        <v>35.31</v>
      </c>
      <c r="X29" s="4">
        <v>0.28</v>
      </c>
    </row>
    <row r="30" hidden="1">
      <c r="A30" s="1" t="s">
        <v>37</v>
      </c>
      <c r="B30" s="1">
        <v>334.0</v>
      </c>
      <c r="C30" s="1">
        <v>1352.92</v>
      </c>
      <c r="D30" s="1">
        <v>1345.1</v>
      </c>
      <c r="E30" s="1">
        <v>451874.1</v>
      </c>
      <c r="F30" s="1">
        <v>449263.4</v>
      </c>
      <c r="G30" s="1">
        <v>-2610.7</v>
      </c>
      <c r="H30" s="1">
        <v>-0.58</v>
      </c>
      <c r="I30" s="1">
        <v>0.01</v>
      </c>
      <c r="L30" s="3">
        <f t="shared" si="1"/>
        <v>0</v>
      </c>
      <c r="M30" s="3" t="str">
        <f t="shared" si="2"/>
        <v>#DIV/0!</v>
      </c>
      <c r="P30" s="2" t="s">
        <v>37</v>
      </c>
      <c r="Q30" s="4">
        <v>334.0</v>
      </c>
      <c r="R30" s="4">
        <v>1352.92</v>
      </c>
      <c r="S30" s="4">
        <v>1201.9</v>
      </c>
      <c r="T30" s="4">
        <v>451874.1</v>
      </c>
      <c r="U30" s="4">
        <v>401434.6</v>
      </c>
      <c r="V30" s="4">
        <v>-50439.5</v>
      </c>
      <c r="W30" s="4">
        <v>-11.16</v>
      </c>
      <c r="X30" s="4">
        <v>-0.07</v>
      </c>
    </row>
    <row r="31" hidden="1">
      <c r="A31" s="1" t="s">
        <v>38</v>
      </c>
      <c r="B31" s="1">
        <v>48.0</v>
      </c>
      <c r="C31" s="1">
        <v>652.17</v>
      </c>
      <c r="D31" s="1">
        <v>1507.5</v>
      </c>
      <c r="E31" s="1">
        <v>31304.0</v>
      </c>
      <c r="F31" s="1">
        <v>72360.0</v>
      </c>
      <c r="G31" s="1">
        <v>41056.0</v>
      </c>
      <c r="H31" s="1">
        <v>131.15</v>
      </c>
      <c r="I31" s="1">
        <v>0.03</v>
      </c>
      <c r="L31" s="3">
        <f t="shared" si="1"/>
        <v>0</v>
      </c>
      <c r="M31" s="3" t="str">
        <f t="shared" si="2"/>
        <v>#DIV/0!</v>
      </c>
      <c r="P31" s="2" t="s">
        <v>38</v>
      </c>
      <c r="Q31" s="4">
        <v>48.0</v>
      </c>
      <c r="R31" s="4">
        <v>652.17</v>
      </c>
      <c r="S31" s="4">
        <v>1456.65</v>
      </c>
      <c r="T31" s="4">
        <v>31304.0</v>
      </c>
      <c r="U31" s="4">
        <v>69919.2</v>
      </c>
      <c r="V31" s="4">
        <v>38615.2</v>
      </c>
      <c r="W31" s="4">
        <v>123.36</v>
      </c>
      <c r="X31" s="4">
        <v>-0.45</v>
      </c>
    </row>
    <row r="32" hidden="1">
      <c r="A32" s="1" t="s">
        <v>39</v>
      </c>
      <c r="B32" s="1">
        <v>191.0</v>
      </c>
      <c r="C32" s="1">
        <v>951.89</v>
      </c>
      <c r="D32" s="1">
        <v>1605.9</v>
      </c>
      <c r="E32" s="1">
        <v>181811.25</v>
      </c>
      <c r="F32" s="1">
        <v>306726.9</v>
      </c>
      <c r="G32" s="1">
        <v>124915.65</v>
      </c>
      <c r="H32" s="1">
        <v>68.71</v>
      </c>
      <c r="I32" s="1">
        <v>-0.25</v>
      </c>
      <c r="L32" s="3">
        <f t="shared" si="1"/>
        <v>0</v>
      </c>
      <c r="M32" s="3" t="str">
        <f t="shared" si="2"/>
        <v>#DIV/0!</v>
      </c>
      <c r="P32" s="2" t="s">
        <v>39</v>
      </c>
      <c r="Q32" s="4">
        <v>191.0</v>
      </c>
      <c r="R32" s="4">
        <v>951.89</v>
      </c>
      <c r="S32" s="4">
        <v>1342.15</v>
      </c>
      <c r="T32" s="4">
        <v>181811.25</v>
      </c>
      <c r="U32" s="4">
        <v>256350.65</v>
      </c>
      <c r="V32" s="4">
        <v>74539.4</v>
      </c>
      <c r="W32" s="4">
        <v>41.0</v>
      </c>
      <c r="X32" s="4">
        <v>6.27</v>
      </c>
    </row>
    <row r="33">
      <c r="A33" s="1" t="s">
        <v>40</v>
      </c>
      <c r="B33" s="1">
        <v>200.0</v>
      </c>
      <c r="C33" s="1">
        <v>1519.76</v>
      </c>
      <c r="D33" s="1">
        <v>1698.8</v>
      </c>
      <c r="E33" s="1">
        <v>303951.7</v>
      </c>
      <c r="F33" s="1">
        <v>339760.0</v>
      </c>
      <c r="G33" s="1">
        <v>35808.3</v>
      </c>
      <c r="H33" s="1">
        <v>11.78</v>
      </c>
      <c r="I33" s="1">
        <v>-0.16</v>
      </c>
      <c r="L33" s="3">
        <f t="shared" si="1"/>
        <v>10</v>
      </c>
      <c r="M33" s="3">
        <f t="shared" si="2"/>
        <v>1673.8</v>
      </c>
      <c r="P33" s="2" t="s">
        <v>40</v>
      </c>
      <c r="Q33" s="4">
        <v>190.0</v>
      </c>
      <c r="R33" s="4">
        <v>1511.65</v>
      </c>
      <c r="S33" s="4">
        <v>1598.5</v>
      </c>
      <c r="T33" s="4">
        <v>287213.7</v>
      </c>
      <c r="U33" s="4">
        <v>303715.0</v>
      </c>
      <c r="V33" s="4">
        <v>16501.3</v>
      </c>
      <c r="W33" s="4">
        <v>5.75</v>
      </c>
      <c r="X33" s="4">
        <v>0.51</v>
      </c>
    </row>
    <row r="34">
      <c r="A34" s="1" t="s">
        <v>41</v>
      </c>
      <c r="B34" s="1">
        <v>53.0</v>
      </c>
      <c r="C34" s="1">
        <v>3543.06</v>
      </c>
      <c r="D34" s="1">
        <v>2487.55</v>
      </c>
      <c r="E34" s="1">
        <v>187782.2</v>
      </c>
      <c r="F34" s="1">
        <v>131840.15</v>
      </c>
      <c r="G34" s="1">
        <v>-55942.05</v>
      </c>
      <c r="H34" s="1">
        <v>-29.79</v>
      </c>
      <c r="I34" s="1">
        <v>0.18</v>
      </c>
      <c r="L34" s="3">
        <f t="shared" si="1"/>
        <v>6</v>
      </c>
      <c r="M34" s="3">
        <f t="shared" si="2"/>
        <v>2754.3</v>
      </c>
      <c r="P34" s="2" t="s">
        <v>41</v>
      </c>
      <c r="Q34" s="4">
        <v>47.0</v>
      </c>
      <c r="R34" s="4">
        <v>3643.75</v>
      </c>
      <c r="S34" s="4">
        <v>2607.4</v>
      </c>
      <c r="T34" s="4">
        <v>171256.4</v>
      </c>
      <c r="U34" s="4">
        <v>122547.8</v>
      </c>
      <c r="V34" s="4">
        <v>-48708.6</v>
      </c>
      <c r="W34" s="4">
        <v>-28.44</v>
      </c>
      <c r="X34" s="4">
        <v>0.38</v>
      </c>
    </row>
    <row r="35" hidden="1">
      <c r="A35" s="1" t="s">
        <v>42</v>
      </c>
      <c r="B35" s="1">
        <v>86.0</v>
      </c>
      <c r="C35" s="1">
        <v>1718.5</v>
      </c>
      <c r="D35" s="1">
        <v>1716.8</v>
      </c>
      <c r="E35" s="1">
        <v>147791.3</v>
      </c>
      <c r="F35" s="1">
        <v>147644.8</v>
      </c>
      <c r="G35" s="1">
        <v>-146.5</v>
      </c>
      <c r="H35" s="1">
        <v>-0.1</v>
      </c>
      <c r="I35" s="1">
        <v>-1.28</v>
      </c>
      <c r="L35" s="3">
        <f t="shared" si="1"/>
        <v>0</v>
      </c>
      <c r="M35" s="3" t="str">
        <f t="shared" si="2"/>
        <v>#DIV/0!</v>
      </c>
      <c r="P35" s="2" t="s">
        <v>42</v>
      </c>
      <c r="Q35" s="4">
        <v>86.0</v>
      </c>
      <c r="R35" s="4">
        <v>1718.5</v>
      </c>
      <c r="S35" s="4">
        <v>1580.55</v>
      </c>
      <c r="T35" s="4">
        <v>147791.3</v>
      </c>
      <c r="U35" s="4">
        <v>135927.3</v>
      </c>
      <c r="V35" s="4">
        <v>-11864.0</v>
      </c>
      <c r="W35" s="4">
        <v>-8.03</v>
      </c>
      <c r="X35" s="4">
        <v>0.48</v>
      </c>
    </row>
    <row r="36" hidden="1">
      <c r="A36" s="1" t="s">
        <v>43</v>
      </c>
      <c r="B36" s="1">
        <v>417.0</v>
      </c>
      <c r="C36" s="1">
        <v>279.39</v>
      </c>
      <c r="D36" s="1">
        <v>344.05</v>
      </c>
      <c r="E36" s="1">
        <v>116506.4</v>
      </c>
      <c r="F36" s="1">
        <v>143468.85</v>
      </c>
      <c r="G36" s="1">
        <v>26962.45</v>
      </c>
      <c r="H36" s="1">
        <v>23.14</v>
      </c>
      <c r="I36" s="1">
        <v>1.24</v>
      </c>
      <c r="L36" s="3">
        <f t="shared" si="1"/>
        <v>0</v>
      </c>
      <c r="M36" s="3" t="str">
        <f t="shared" si="2"/>
        <v>#DIV/0!</v>
      </c>
      <c r="P36" s="2" t="s">
        <v>43</v>
      </c>
      <c r="Q36" s="4">
        <v>417.0</v>
      </c>
      <c r="R36" s="4">
        <v>279.39</v>
      </c>
      <c r="S36" s="4">
        <v>280.4</v>
      </c>
      <c r="T36" s="4">
        <v>116506.4</v>
      </c>
      <c r="U36" s="4">
        <v>116926.8</v>
      </c>
      <c r="V36" s="4">
        <v>420.4</v>
      </c>
      <c r="W36" s="4">
        <v>0.36</v>
      </c>
      <c r="X36" s="4">
        <v>2.06</v>
      </c>
    </row>
    <row r="37" hidden="1">
      <c r="A37" s="1" t="s">
        <v>44</v>
      </c>
      <c r="B37" s="1">
        <v>57.0</v>
      </c>
      <c r="C37" s="1">
        <v>1274.67</v>
      </c>
      <c r="D37" s="1">
        <v>1314.0</v>
      </c>
      <c r="E37" s="1">
        <v>72656.25</v>
      </c>
      <c r="F37" s="1">
        <v>74898.0</v>
      </c>
      <c r="G37" s="1">
        <v>2241.75</v>
      </c>
      <c r="H37" s="1">
        <v>3.09</v>
      </c>
      <c r="I37" s="1">
        <v>-1.13</v>
      </c>
      <c r="L37" s="3">
        <f t="shared" si="1"/>
        <v>0</v>
      </c>
      <c r="M37" s="3" t="str">
        <f t="shared" si="2"/>
        <v>#DIV/0!</v>
      </c>
      <c r="P37" s="2" t="s">
        <v>44</v>
      </c>
      <c r="Q37" s="4">
        <v>57.0</v>
      </c>
      <c r="R37" s="4">
        <v>1274.67</v>
      </c>
      <c r="S37" s="4">
        <v>1308.85</v>
      </c>
      <c r="T37" s="4">
        <v>72656.25</v>
      </c>
      <c r="U37" s="4">
        <v>74604.45</v>
      </c>
      <c r="V37" s="4">
        <v>1948.2</v>
      </c>
      <c r="W37" s="4">
        <v>2.68</v>
      </c>
      <c r="X37" s="4">
        <v>2.28</v>
      </c>
    </row>
    <row r="38" hidden="1">
      <c r="A38" s="1" t="s">
        <v>45</v>
      </c>
      <c r="B38" s="1">
        <v>95.0</v>
      </c>
      <c r="C38" s="1">
        <v>807.05</v>
      </c>
      <c r="D38" s="1">
        <v>649.15</v>
      </c>
      <c r="E38" s="1">
        <v>76670.0</v>
      </c>
      <c r="F38" s="1">
        <v>61669.25</v>
      </c>
      <c r="G38" s="1">
        <v>-15000.75</v>
      </c>
      <c r="H38" s="1">
        <v>-19.57</v>
      </c>
      <c r="I38" s="1">
        <v>-1.13</v>
      </c>
      <c r="L38" s="3">
        <f t="shared" si="1"/>
        <v>0</v>
      </c>
      <c r="M38" s="3" t="str">
        <f t="shared" si="2"/>
        <v>#DIV/0!</v>
      </c>
      <c r="P38" s="2" t="s">
        <v>45</v>
      </c>
      <c r="Q38" s="4">
        <v>95.0</v>
      </c>
      <c r="R38" s="4">
        <v>807.05</v>
      </c>
      <c r="S38" s="4">
        <v>611.0</v>
      </c>
      <c r="T38" s="4">
        <v>76670.0</v>
      </c>
      <c r="U38" s="4">
        <v>58045.0</v>
      </c>
      <c r="V38" s="4">
        <v>-18625.0</v>
      </c>
      <c r="W38" s="4">
        <v>-24.29</v>
      </c>
      <c r="X38" s="4">
        <v>3.89</v>
      </c>
    </row>
    <row r="39">
      <c r="A39" s="1" t="s">
        <v>46</v>
      </c>
      <c r="B39" s="1">
        <v>10.0</v>
      </c>
      <c r="C39" s="1">
        <v>25866.5</v>
      </c>
      <c r="D39" s="1">
        <v>25560.0</v>
      </c>
      <c r="E39" s="1">
        <v>258665.0</v>
      </c>
      <c r="F39" s="1">
        <v>255600.0</v>
      </c>
      <c r="G39" s="1">
        <v>-3065.0</v>
      </c>
      <c r="H39" s="1">
        <v>-1.18</v>
      </c>
      <c r="I39" s="1">
        <v>-0.04</v>
      </c>
      <c r="L39" s="3">
        <f t="shared" si="1"/>
        <v>1</v>
      </c>
      <c r="M39" s="3">
        <f t="shared" si="2"/>
        <v>25550</v>
      </c>
      <c r="P39" s="2" t="s">
        <v>46</v>
      </c>
      <c r="Q39" s="4">
        <v>9.0</v>
      </c>
      <c r="R39" s="4">
        <v>25901.67</v>
      </c>
      <c r="S39" s="4">
        <v>26615.0</v>
      </c>
      <c r="T39" s="4">
        <v>233115.0</v>
      </c>
      <c r="U39" s="4">
        <v>239535.0</v>
      </c>
      <c r="V39" s="4">
        <v>6420.0</v>
      </c>
      <c r="W39" s="4">
        <v>2.75</v>
      </c>
      <c r="X39" s="4">
        <v>1.22</v>
      </c>
    </row>
    <row r="40" hidden="1">
      <c r="A40" s="1" t="s">
        <v>47</v>
      </c>
      <c r="B40" s="1">
        <v>83.0</v>
      </c>
      <c r="C40" s="1">
        <v>3537.85</v>
      </c>
      <c r="D40" s="1">
        <v>2338.75</v>
      </c>
      <c r="E40" s="1">
        <v>293641.9</v>
      </c>
      <c r="F40" s="1">
        <v>194116.25</v>
      </c>
      <c r="G40" s="1">
        <v>-99525.65</v>
      </c>
      <c r="H40" s="1">
        <v>-33.89</v>
      </c>
      <c r="I40" s="1">
        <v>-0.47</v>
      </c>
      <c r="L40" s="3">
        <f t="shared" si="1"/>
        <v>0</v>
      </c>
      <c r="M40" s="3" t="str">
        <f t="shared" si="2"/>
        <v>#DIV/0!</v>
      </c>
      <c r="P40" s="2" t="s">
        <v>47</v>
      </c>
      <c r="Q40" s="4">
        <v>83.0</v>
      </c>
      <c r="R40" s="4">
        <v>3537.85</v>
      </c>
      <c r="S40" s="4">
        <v>2069.05</v>
      </c>
      <c r="T40" s="4">
        <v>293641.9</v>
      </c>
      <c r="U40" s="4">
        <v>171731.15</v>
      </c>
      <c r="V40" s="4">
        <v>-121910.75</v>
      </c>
      <c r="W40" s="4">
        <v>-41.52</v>
      </c>
      <c r="X40" s="4">
        <v>1.04</v>
      </c>
    </row>
    <row r="41" hidden="1">
      <c r="A41" s="1" t="s">
        <v>48</v>
      </c>
      <c r="B41" s="1">
        <v>45.0</v>
      </c>
      <c r="C41" s="1">
        <v>3387.64</v>
      </c>
      <c r="D41" s="1">
        <v>5058.05</v>
      </c>
      <c r="E41" s="1">
        <v>152444.0</v>
      </c>
      <c r="F41" s="1">
        <v>227612.25</v>
      </c>
      <c r="G41" s="1">
        <v>75168.25</v>
      </c>
      <c r="H41" s="1">
        <v>49.31</v>
      </c>
      <c r="I41" s="1">
        <v>-0.94</v>
      </c>
      <c r="L41" s="3">
        <f t="shared" si="1"/>
        <v>0</v>
      </c>
      <c r="M41" s="3" t="str">
        <f t="shared" si="2"/>
        <v>#DIV/0!</v>
      </c>
      <c r="P41" s="2" t="s">
        <v>48</v>
      </c>
      <c r="Q41" s="4">
        <v>45.0</v>
      </c>
      <c r="R41" s="4">
        <v>3387.64</v>
      </c>
      <c r="S41" s="4">
        <v>4574.5</v>
      </c>
      <c r="T41" s="4">
        <v>152444.0</v>
      </c>
      <c r="U41" s="4">
        <v>205852.5</v>
      </c>
      <c r="V41" s="4">
        <v>53408.5</v>
      </c>
      <c r="W41" s="4">
        <v>35.03</v>
      </c>
      <c r="X41" s="4">
        <v>0.42</v>
      </c>
    </row>
    <row r="42" hidden="1">
      <c r="A42" s="1" t="s">
        <v>49</v>
      </c>
      <c r="B42" s="1">
        <v>15.0</v>
      </c>
      <c r="C42" s="1">
        <v>7982.8</v>
      </c>
      <c r="D42" s="1">
        <v>10039.0</v>
      </c>
      <c r="E42" s="1">
        <v>119742.0</v>
      </c>
      <c r="F42" s="1">
        <v>150585.0</v>
      </c>
      <c r="G42" s="1">
        <v>30843.0</v>
      </c>
      <c r="H42" s="1">
        <v>25.76</v>
      </c>
      <c r="I42" s="1">
        <v>0.32</v>
      </c>
      <c r="L42" s="3">
        <f t="shared" si="1"/>
        <v>0</v>
      </c>
      <c r="M42" s="3" t="str">
        <f t="shared" si="2"/>
        <v>#DIV/0!</v>
      </c>
      <c r="P42" s="2" t="s">
        <v>49</v>
      </c>
      <c r="Q42" s="4">
        <v>15.0</v>
      </c>
      <c r="R42" s="4">
        <v>7982.8</v>
      </c>
      <c r="S42" s="4">
        <v>9562.0</v>
      </c>
      <c r="T42" s="4">
        <v>119742.0</v>
      </c>
      <c r="U42" s="4">
        <v>143430.0</v>
      </c>
      <c r="V42" s="4">
        <v>23688.0</v>
      </c>
      <c r="W42" s="4">
        <v>19.78</v>
      </c>
      <c r="X42" s="4">
        <v>-0.05</v>
      </c>
    </row>
    <row r="46">
      <c r="M46" s="3">
        <v>10.0</v>
      </c>
      <c r="N46" s="3">
        <v>2007.9</v>
      </c>
      <c r="O46" s="3">
        <f t="shared" ref="O46:O55" si="3">N46*M46</f>
        <v>20079</v>
      </c>
    </row>
    <row r="47">
      <c r="M47" s="3">
        <v>5.0</v>
      </c>
      <c r="N47" s="3">
        <v>2735.9</v>
      </c>
      <c r="O47" s="3">
        <f t="shared" si="3"/>
        <v>13679.5</v>
      </c>
    </row>
    <row r="48">
      <c r="M48" s="3">
        <v>11.0</v>
      </c>
      <c r="N48" s="3">
        <v>1067.0</v>
      </c>
      <c r="O48" s="3">
        <f t="shared" si="3"/>
        <v>11737</v>
      </c>
    </row>
    <row r="49">
      <c r="M49" s="3">
        <v>10.0</v>
      </c>
      <c r="N49" s="3">
        <v>1641.4200000000012</v>
      </c>
      <c r="O49" s="3">
        <f t="shared" si="3"/>
        <v>16414.2</v>
      </c>
    </row>
    <row r="50">
      <c r="M50" s="3">
        <v>10.0</v>
      </c>
      <c r="N50" s="3">
        <v>1646.4</v>
      </c>
      <c r="O50" s="3">
        <f t="shared" si="3"/>
        <v>16464</v>
      </c>
    </row>
    <row r="51">
      <c r="M51" s="3">
        <v>5.0</v>
      </c>
      <c r="N51" s="3">
        <v>4047.8</v>
      </c>
      <c r="O51" s="3">
        <f t="shared" si="3"/>
        <v>20239</v>
      </c>
    </row>
    <row r="52">
      <c r="M52" s="3">
        <v>3.0</v>
      </c>
      <c r="N52" s="3">
        <v>14093.0</v>
      </c>
      <c r="O52" s="3">
        <f t="shared" si="3"/>
        <v>42279</v>
      </c>
    </row>
    <row r="53">
      <c r="M53" s="3">
        <v>10.0</v>
      </c>
      <c r="N53" s="3">
        <v>1673.8</v>
      </c>
      <c r="O53" s="3">
        <f t="shared" si="3"/>
        <v>16738</v>
      </c>
    </row>
    <row r="54">
      <c r="M54" s="3">
        <v>6.0</v>
      </c>
      <c r="N54" s="3">
        <v>2754.300000000003</v>
      </c>
      <c r="O54" s="3">
        <f t="shared" si="3"/>
        <v>16525.8</v>
      </c>
    </row>
    <row r="55">
      <c r="M55" s="3">
        <v>1.0</v>
      </c>
      <c r="N55" s="3">
        <v>25550.0</v>
      </c>
      <c r="O55" s="3">
        <f t="shared" si="3"/>
        <v>25550</v>
      </c>
    </row>
  </sheetData>
  <autoFilter ref="$A$1:$Z$42">
    <filterColumn colId="11">
      <filters>
        <filter val="11"/>
        <filter val="1"/>
        <filter val="3"/>
        <filter val="5"/>
        <filter val="6"/>
        <filter val="10"/>
      </filters>
    </filterColumn>
  </autoFilter>
  <drawing r:id="rId1"/>
</worksheet>
</file>